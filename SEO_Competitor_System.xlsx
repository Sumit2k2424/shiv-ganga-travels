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Extraction_Matrix" sheetId="2" state="visible" r:id="rId2"/>
    <sheet name="Gap_Analysis" sheetId="3" state="visible" r:id="rId3"/>
    <sheet name="Page_Build_Brief" sheetId="4" state="visible" r:id="rId4"/>
    <sheet name="Writing_Rules" sheetId="5" state="visible" r:id="rId5"/>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1F2D3D"/>
      <sz val="16"/>
    </font>
    <font>
      <name val="Arial"/>
      <i val="1"/>
      <color rgb="006B7A8D"/>
      <sz val="10"/>
    </font>
    <font>
      <name val="Arial"/>
      <b val="1"/>
      <color rgb="002E5A88"/>
      <sz val="12"/>
    </font>
    <font>
      <name val="Arial"/>
    </font>
    <font>
      <name val="Arial"/>
      <color rgb="006B7A8D"/>
      <sz val="10"/>
    </font>
    <font>
      <name val="Arial"/>
      <b val="1"/>
      <color rgb="00B8860B"/>
      <sz val="12"/>
    </font>
    <font>
      <name val="Arial"/>
      <b val="1"/>
      <color rgb="001F2D3D"/>
      <sz val="14"/>
    </font>
    <font>
      <name val="Arial"/>
      <i val="1"/>
      <color rgb="006B7A8D"/>
      <sz val="9"/>
    </font>
    <font>
      <name val="Arial"/>
      <color rgb="006B7A8D"/>
      <sz val="9"/>
    </font>
    <font>
      <name val="Arial"/>
      <b val="1"/>
      <color rgb="00FFFFFF"/>
      <sz val="10"/>
    </font>
    <font>
      <name val="Arial"/>
      <b val="1"/>
      <sz val="10"/>
    </font>
    <font>
      <name val="Arial"/>
      <sz val="10"/>
    </font>
    <font>
      <name val="Arial"/>
      <b val="1"/>
      <color rgb="00FFFFFF"/>
      <sz val="11"/>
    </font>
    <font>
      <name val="Arial"/>
      <b val="1"/>
      <color rgb="002E5A88"/>
      <sz val="10"/>
    </font>
    <font>
      <name val="Arial"/>
      <b val="1"/>
      <color rgb="001E7F4F"/>
    </font>
    <font>
      <name val="Arial"/>
      <b val="1"/>
      <color rgb="00B8860B"/>
    </font>
    <font>
      <name val="Arial"/>
      <b val="1"/>
      <color rgb="007A3DB8"/>
    </font>
    <font>
      <name val="Arial"/>
      <color rgb="001F2D3D"/>
      <sz val="10"/>
    </font>
    <font>
      <name val="Arial"/>
      <color rgb="007A3DB8"/>
      <sz val="10"/>
    </font>
    <font>
      <name val="Arial"/>
      <b val="1"/>
      <color rgb="001F2D3D"/>
      <sz val="10"/>
    </font>
    <font>
      <name val="Arial"/>
      <b val="1"/>
      <color rgb="007A3DB8"/>
      <sz val="9"/>
    </font>
    <font>
      <name val="Arial"/>
      <b val="1"/>
      <color rgb="006B7A8D"/>
      <sz val="9"/>
    </font>
    <font>
      <name val="Arial"/>
      <b val="1"/>
      <color rgb="00B8860B"/>
      <sz val="9"/>
    </font>
    <font>
      <name val="Arial"/>
      <color rgb="002E5A88"/>
      <sz val="12"/>
    </font>
  </fonts>
  <fills count="5">
    <fill>
      <patternFill/>
    </fill>
    <fill>
      <patternFill patternType="gray125"/>
    </fill>
    <fill>
      <patternFill patternType="solid">
        <fgColor rgb="001F2D3D"/>
      </patternFill>
    </fill>
    <fill>
      <patternFill patternType="solid">
        <fgColor rgb="002E5A88"/>
      </patternFill>
    </fill>
    <fill>
      <patternFill patternType="solid">
        <fgColor rgb="007A3DB8"/>
      </patternFill>
    </fill>
  </fills>
  <borders count="6">
    <border>
      <left/>
      <right/>
      <top/>
      <bottom/>
      <diagonal/>
    </border>
    <border>
      <left style="thin">
        <color rgb="00C9D2DC"/>
      </left>
      <right style="thin">
        <color rgb="00C9D2DC"/>
      </right>
      <top style="thin">
        <color rgb="00C9D2DC"/>
      </top>
      <bottom style="thin">
        <color rgb="00C9D2DC"/>
      </bottom>
    </border>
    <border>
      <left/>
      <right/>
      <top style="thin">
        <color rgb="00C9D2DC"/>
      </top>
      <bottom/>
      <diagonal/>
    </border>
    <border>
      <left/>
      <right style="thin">
        <color rgb="00C9D2DC"/>
      </right>
      <top style="thin">
        <color rgb="00C9D2DC"/>
      </top>
      <bottom/>
      <diagonal/>
    </border>
    <border>
      <left/>
      <right/>
      <top style="thin">
        <color rgb="00C9D2DC"/>
      </top>
      <bottom style="thin">
        <color rgb="00C9D2DC"/>
      </bottom>
      <diagonal/>
    </border>
    <border>
      <left/>
      <right style="thin">
        <color rgb="00C9D2DC"/>
      </right>
      <top style="thin">
        <color rgb="00C9D2DC"/>
      </top>
      <bottom style="thin">
        <color rgb="00C9D2DC"/>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center" vertical="center" wrapText="1"/>
    </xf>
    <xf numFmtId="0" fontId="9" fillId="0" borderId="1" pivotButton="0" quotePrefix="0" xfId="0"/>
    <xf numFmtId="0" fontId="11" fillId="0" borderId="1" pivotButton="0" quotePrefix="0" xfId="0"/>
    <xf numFmtId="0" fontId="9" fillId="0" borderId="1" applyAlignment="1" pivotButton="0" quotePrefix="0" xfId="0">
      <alignment horizontal="center"/>
    </xf>
    <xf numFmtId="0" fontId="0" fillId="0" borderId="1" applyAlignment="1" pivotButton="0" quotePrefix="0" xfId="0">
      <alignment vertical="top" wrapText="1"/>
    </xf>
    <xf numFmtId="0" fontId="12" fillId="0" borderId="1" pivotButton="0" quotePrefix="0" xfId="0"/>
    <xf numFmtId="0" fontId="8" fillId="0" borderId="1" applyAlignment="1" pivotButton="0" quotePrefix="0" xfId="0">
      <alignment vertical="top" wrapText="1"/>
    </xf>
    <xf numFmtId="0" fontId="13" fillId="3" borderId="0" applyAlignment="1" pivotButton="0" quotePrefix="0" xfId="0">
      <alignment horizontal="left" vertical="center"/>
    </xf>
    <xf numFmtId="0" fontId="11" fillId="0" borderId="0" pivotButton="0" quotePrefix="0" xfId="0"/>
    <xf numFmtId="0" fontId="14" fillId="0" borderId="0" pivotButton="0" quotePrefix="0" xfId="0"/>
    <xf numFmtId="0" fontId="13" fillId="2" borderId="0" applyAlignment="1" pivotButton="0" quotePrefix="0" xfId="0">
      <alignment horizontal="left" vertical="center"/>
    </xf>
    <xf numFmtId="0" fontId="10" fillId="3" borderId="0" applyAlignment="1" pivotButton="0" quotePrefix="0" xfId="0">
      <alignment horizontal="center" wrapText="1"/>
    </xf>
    <xf numFmtId="0" fontId="12" fillId="0" borderId="1" applyAlignment="1" pivotButton="0" quotePrefix="0" xfId="0">
      <alignment horizontal="left"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0" fillId="3" borderId="0" applyAlignment="1" pivotButton="0" quotePrefix="0" xfId="0">
      <alignment horizontal="center"/>
    </xf>
    <xf numFmtId="0" fontId="12"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xf>
    <xf numFmtId="0" fontId="8" fillId="0" borderId="1" applyAlignment="1" pivotButton="0" quotePrefix="0" xfId="0">
      <alignment horizontal="left"/>
    </xf>
    <xf numFmtId="0" fontId="15" fillId="0" borderId="0" pivotButton="0" quotePrefix="0" xfId="0"/>
    <xf numFmtId="0" fontId="16" fillId="0" borderId="0" pivotButton="0" quotePrefix="0" xfId="0"/>
    <xf numFmtId="0" fontId="17" fillId="0" borderId="0" pivotButton="0" quotePrefix="0" xfId="0"/>
    <xf numFmtId="0" fontId="18"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19" fillId="0" borderId="1" applyAlignment="1" pivotButton="0" quotePrefix="0" xfId="0">
      <alignment vertical="top" wrapText="1"/>
    </xf>
    <xf numFmtId="0" fontId="20" fillId="0" borderId="1" pivotButton="0" quotePrefix="0" xfId="0"/>
    <xf numFmtId="0" fontId="12" fillId="0" borderId="1" applyAlignment="1" pivotButton="0" quotePrefix="0" xfId="0">
      <alignment vertical="top" wrapText="1"/>
    </xf>
    <xf numFmtId="0" fontId="8" fillId="0" borderId="1" pivotButton="0" quotePrefix="0" xfId="0"/>
    <xf numFmtId="0" fontId="13" fillId="4" borderId="0" applyAlignment="1" pivotButton="0" quotePrefix="0" xfId="0">
      <alignment horizontal="left" vertical="center"/>
    </xf>
    <xf numFmtId="0" fontId="21" fillId="0" borderId="1" pivotButton="0" quotePrefix="0" xfId="0"/>
    <xf numFmtId="0" fontId="22" fillId="0" borderId="1" pivotButton="0" quotePrefix="0" xfId="0"/>
    <xf numFmtId="0" fontId="23" fillId="0" borderId="1" pivotButton="0" quotePrefix="0" xfId="0"/>
    <xf numFmtId="0" fontId="24" fillId="0" borderId="1" applyAlignment="1" pivotButton="0" quotePrefix="0" xfId="0">
      <alignment horizontal="center"/>
    </xf>
    <xf numFmtId="0" fontId="12" fillId="0" borderId="1" applyAlignment="1" pivotButton="0" quotePrefix="0" xfId="0">
      <alignment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9"/>
  <sheetViews>
    <sheetView showGridLines="0" workbookViewId="0">
      <selection activeCell="A1" sqref="A1"/>
    </sheetView>
  </sheetViews>
  <sheetFormatPr baseColWidth="8" defaultRowHeight="15"/>
  <cols>
    <col width="3" customWidth="1" min="1" max="1"/>
    <col width="104" customWidth="1" min="2" max="2"/>
  </cols>
  <sheetData>
    <row r="1">
      <c r="B1" s="1" t="inlineStr">
        <is>
          <t>SEO COMPETITOR → PAGE SYSTEM</t>
        </is>
      </c>
    </row>
    <row r="2">
      <c r="B2" s="2" t="inlineStr">
        <is>
          <t>Reverse-engineer the SERP, then build a page that beats it.</t>
        </is>
      </c>
    </row>
    <row r="4">
      <c r="B4" s="3" t="inlineStr">
        <is>
          <t>HOW TO USE</t>
        </is>
      </c>
    </row>
    <row r="5">
      <c r="B5" s="4" t="inlineStr">
        <is>
          <t>1.  Give Claude 6–8 competitor URLs (the pages currently ranking for your target query).</t>
        </is>
      </c>
    </row>
    <row r="6">
      <c r="B6" s="4" t="inlineStr">
        <is>
          <t>2.  Claude fetches each URL IN THE LISTED ORDER and fills one column per link in the  »Extraction_Matrix«  tab.</t>
        </is>
      </c>
    </row>
    <row r="7">
      <c r="B7" s="4" t="inlineStr">
        <is>
          <t>3.  Claude runs web searches for the off-page signals (Reddit, YouTube, GBP reviews).</t>
        </is>
      </c>
    </row>
    <row r="8">
      <c r="B8" s="4" t="inlineStr">
        <is>
          <t>4.  The  »Gap_Analysis«  tab auto-updates — it scores every feature and the numeric benchmarks across all competitors.</t>
        </is>
      </c>
    </row>
    <row r="9">
      <c r="B9" s="4" t="inlineStr">
        <is>
          <t>5.  Claude classifies each feature into the 3 tiers and writes your spec into the  »Page_Build_Brief«  tab.</t>
        </is>
      </c>
    </row>
    <row r="10">
      <c r="B10" s="4" t="inlineStr">
        <is>
          <t>6.  Ask Claude to draft the page from the brief — written to the 7 standards in the  »Writing_Rules«  tab.</t>
        </is>
      </c>
    </row>
    <row r="11">
      <c r="B11" s="5" t="inlineStr">
        <is>
          <t xml:space="preserve">     The page is the SUPERSET: every relevant subtopic any competitor covers (rewritten + improved) PLUS the gaps none of them have.</t>
        </is>
      </c>
    </row>
    <row r="12">
      <c r="B12" s="3" t="inlineStr">
        <is>
          <t>THE 3-TIER LOGIC (your last 3 requirements)</t>
        </is>
      </c>
    </row>
    <row r="13">
      <c r="B13" s="4" t="inlineStr">
        <is>
          <t>✅  MANDATORY  — EVERYONE has it  →  table-stakes. You must match it or you can't compete.</t>
        </is>
      </c>
    </row>
    <row r="14">
      <c r="B14" s="4" t="inlineStr">
        <is>
          <t>⭐  ADVANTAGE  — only the TOP players have it  →  adopt it to reach parity with the leaders.</t>
        </is>
      </c>
    </row>
    <row r="15">
      <c r="B15" s="4" t="inlineStr">
        <is>
          <t>🚀  OPPORTUNITY — NOBODY has it  →  your differentiation. This is where you out-rank them.</t>
        </is>
      </c>
    </row>
    <row r="17">
      <c r="B17" s="3" t="inlineStr">
        <is>
          <t>WHERE EACH FIELD COMES FROM  (Source key in the matrix)</t>
        </is>
      </c>
    </row>
    <row r="18">
      <c r="B18" s="5" t="inlineStr">
        <is>
          <t>P = pulled directly from the live page  ·  S = web search  ·  J = Claude judgement  ·  M = manual / local lookup</t>
        </is>
      </c>
    </row>
    <row r="19">
      <c r="B19" s="4" t="inlineStr">
        <is>
          <t>• P fields (title, meta, H1/H2, word count, images, tables, FAQs, links, schema, author): extracted when Claude fetches the URL.</t>
        </is>
      </c>
    </row>
    <row r="20">
      <c r="B20" s="4" t="inlineStr">
        <is>
          <t>• S fields (Reddit mentions, YouTube presence): Claude runs targeted searches (e.g. site:reddit.com + topic).</t>
        </is>
      </c>
    </row>
    <row r="21">
      <c r="B21" s="4" t="inlineStr">
        <is>
          <t>• M fields (GBP reviews — local only): from the business's Google Business Profile; approximate unless a maps/DataForSEO tool is connected.</t>
        </is>
      </c>
    </row>
    <row r="22">
      <c r="B22" s="4" t="inlineStr">
        <is>
          <t>• J fields (intent, content type, format mix, structure, topical authority, tone): Claude's assessment from the page.</t>
        </is>
      </c>
    </row>
    <row r="24">
      <c r="B24" s="6" t="inlineStr">
        <is>
          <t>HONEST LIMITS</t>
        </is>
      </c>
    </row>
    <row r="25">
      <c r="B25" s="4" t="inlineStr">
        <is>
          <t>• Some pages block bots or render with JavaScript — if a field can't be captured, Claude marks it »n/a« rather than guessing.</t>
        </is>
      </c>
    </row>
    <row r="26">
      <c r="B26" s="4" t="inlineStr">
        <is>
          <t>• Keyword volume, difficulty, backlinks and DA/PA are NOT in this default set (they aren't on a page). Connect a live-data</t>
        </is>
      </c>
    </row>
    <row r="27">
      <c r="B27" s="4" t="inlineStr">
        <is>
          <t xml:space="preserve">   tool (Ahrefs / DataForSEO / Search Console) and ask, and Claude can add those columns.</t>
        </is>
      </c>
    </row>
    <row r="28">
      <c r="B28" s="4" t="inlineStr">
        <is>
          <t>• FAQ note: since Aug-2023 FAQ schema only earns Google rich results for gov/health sites — but it still helps</t>
        </is>
      </c>
    </row>
    <row r="29">
      <c r="B29" s="4" t="inlineStr">
        <is>
          <t xml:space="preserve">   AI/LLM citation (ChatGPT, AI Overviews, Perplexity). Treated here as a GEO signal, not a Google rich-result play.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5"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8" customWidth="1" min="12" max="12"/>
  </cols>
  <sheetData>
    <row r="1">
      <c r="A1" s="7" t="inlineStr">
        <is>
          <t>SEO COMPETITOR EXTRACTION MATRIX</t>
        </is>
      </c>
    </row>
    <row r="2">
      <c r="A2" s="8" t="inlineStr">
        <is>
          <t>Each link = one column. Claude fills these after fetching the URLs (in order). Binary cells use Y / N.</t>
        </is>
      </c>
    </row>
    <row r="3">
      <c r="A3" s="9" t="inlineStr">
        <is>
          <t>Source key:  P = page fetch  ·  S = web search  ·  J = judgement  ·  M = manual/local</t>
        </is>
      </c>
    </row>
    <row r="5" ht="24" customHeight="1">
      <c r="A5" s="10" t="inlineStr">
        <is>
          <t>Category</t>
        </is>
      </c>
      <c r="B5" s="10" t="inlineStr">
        <is>
          <t>Field / Metric</t>
        </is>
      </c>
      <c r="C5" s="10" t="inlineStr">
        <is>
          <t>Src</t>
        </is>
      </c>
      <c r="D5" s="10" t="inlineStr">
        <is>
          <t>Link 1</t>
        </is>
      </c>
      <c r="E5" s="10" t="inlineStr">
        <is>
          <t>Link 2</t>
        </is>
      </c>
      <c r="F5" s="10" t="inlineStr">
        <is>
          <t>Link 3</t>
        </is>
      </c>
      <c r="G5" s="10" t="inlineStr">
        <is>
          <t>Link 4</t>
        </is>
      </c>
      <c r="H5" s="10" t="inlineStr">
        <is>
          <t>Link 5</t>
        </is>
      </c>
      <c r="I5" s="10" t="inlineStr">
        <is>
          <t>Link 6</t>
        </is>
      </c>
      <c r="J5" s="10" t="inlineStr">
        <is>
          <t>Link 7</t>
        </is>
      </c>
      <c r="K5" s="10" t="inlineStr">
        <is>
          <t>Link 8</t>
        </is>
      </c>
      <c r="L5" s="10" t="inlineStr">
        <is>
          <t>Pattern / Benchmark</t>
        </is>
      </c>
    </row>
    <row r="6">
      <c r="A6" s="11" t="inlineStr">
        <is>
          <t>—</t>
        </is>
      </c>
      <c r="B6" s="12" t="inlineStr">
        <is>
          <t>URL</t>
        </is>
      </c>
      <c r="C6" s="13" t="inlineStr">
        <is>
          <t>M</t>
        </is>
      </c>
      <c r="D6" s="14" t="inlineStr">
        <is>
          <t>https://rajputanacabs.in/haridwar/</t>
        </is>
      </c>
      <c r="E6" s="14" t="inlineStr">
        <is>
          <t>https://www.taxiinharidwar.com/</t>
        </is>
      </c>
      <c r="F6" s="14" t="inlineStr">
        <is>
          <t>https://taxiserviceinharidwar.com/</t>
        </is>
      </c>
      <c r="G6" s="14" t="inlineStr">
        <is>
          <t>https://haridwarcarrentals.com/</t>
        </is>
      </c>
      <c r="H6" s="14" t="n"/>
      <c r="I6" s="14" t="n"/>
      <c r="J6" s="14" t="n"/>
      <c r="K6" s="14" t="n"/>
      <c r="L6" s="14" t="n"/>
    </row>
    <row r="7">
      <c r="A7" s="11" t="inlineStr">
        <is>
          <t>—</t>
        </is>
      </c>
      <c r="B7" s="15" t="inlineStr">
        <is>
          <t>SERP rank / tier  (Top / Mid / Low)</t>
        </is>
      </c>
      <c r="C7" s="13" t="inlineStr">
        <is>
          <t>S</t>
        </is>
      </c>
      <c r="D7" s="14" t="inlineStr">
        <is>
          <t>Top</t>
        </is>
      </c>
      <c r="E7" s="14" t="inlineStr">
        <is>
          <t>Top</t>
        </is>
      </c>
      <c r="F7" s="14" t="inlineStr">
        <is>
          <t>Mid</t>
        </is>
      </c>
      <c r="G7" s="14" t="inlineStr">
        <is>
          <t>Mid</t>
        </is>
      </c>
      <c r="H7" s="14" t="n"/>
      <c r="I7" s="14" t="n"/>
      <c r="J7" s="14" t="n"/>
      <c r="K7" s="14" t="n"/>
      <c r="L7" s="16" t="inlineStr">
        <is>
          <t>drives the ADVANTAGE tier</t>
        </is>
      </c>
    </row>
    <row r="8" ht="20" customHeight="1">
      <c r="A8" s="17" t="inlineStr">
        <is>
          <t>A · CORE ON-PAGE</t>
        </is>
      </c>
    </row>
    <row r="9">
      <c r="A9" s="11" t="inlineStr">
        <is>
          <t>On-page</t>
        </is>
      </c>
      <c r="B9" s="15" t="inlineStr">
        <is>
          <t>Title (meta title)</t>
        </is>
      </c>
      <c r="C9" s="13" t="inlineStr">
        <is>
          <t>P</t>
        </is>
      </c>
      <c r="D9" s="14" t="inlineStr">
        <is>
          <t>Best taxi service in Haridwar at Rs 1600 a day via Rajputana Cabs</t>
        </is>
      </c>
      <c r="E9" s="14" t="inlineStr">
        <is>
          <t>Haridwar Taxi Service | Best Cab &amp; Car Rental in Haridwar</t>
        </is>
      </c>
      <c r="F9" s="14" t="inlineStr">
        <is>
          <t>Best Taxi Rental Service in Haridwar 2026</t>
        </is>
      </c>
      <c r="G9" s="14" t="inlineStr">
        <is>
          <t>Haridwar Car rentals - Book the Best Car Rental in Haridwar</t>
        </is>
      </c>
      <c r="H9" s="14" t="n"/>
      <c r="I9" s="14" t="n"/>
      <c r="J9" s="14" t="n"/>
      <c r="K9" s="14" t="n"/>
      <c r="L9" s="14" t="n"/>
    </row>
    <row r="10">
      <c r="A10" s="11" t="inlineStr">
        <is>
          <t>On-page</t>
        </is>
      </c>
      <c r="B10" s="15" t="inlineStr">
        <is>
          <t>Title length (chars)</t>
        </is>
      </c>
      <c r="C10" s="13" t="inlineStr">
        <is>
          <t>P</t>
        </is>
      </c>
      <c r="D10" s="14">
        <f>IF(D9="","",LEN(D9))</f>
        <v/>
      </c>
      <c r="E10" s="14">
        <f>IF(E9="","",LEN(E9))</f>
        <v/>
      </c>
      <c r="F10" s="14">
        <f>IF(F9="","",LEN(F9))</f>
        <v/>
      </c>
      <c r="G10" s="14">
        <f>IF(G9="","",LEN(G9))</f>
        <v/>
      </c>
      <c r="H10" s="14">
        <f>IF(H9="","",LEN(H9))</f>
        <v/>
      </c>
      <c r="I10" s="14">
        <f>IF(I9="","",LEN(I9))</f>
        <v/>
      </c>
      <c r="J10" s="14">
        <f>IF(J9="","",LEN(J9))</f>
        <v/>
      </c>
      <c r="K10" s="14">
        <f>IF(K9="","",LEN(K9))</f>
        <v/>
      </c>
      <c r="L10" s="16" t="inlineStr">
        <is>
          <t>best 50–60</t>
        </is>
      </c>
    </row>
    <row r="11">
      <c r="A11" s="11" t="inlineStr">
        <is>
          <t>On-page</t>
        </is>
      </c>
      <c r="B11" s="15" t="inlineStr">
        <is>
          <t>Meta Description</t>
        </is>
      </c>
      <c r="C11" s="13" t="inlineStr">
        <is>
          <t>P</t>
        </is>
      </c>
      <c r="D11" s="14" t="inlineStr">
        <is>
          <t>n/a (not exposed in fetch)</t>
        </is>
      </c>
      <c r="E11" s="14" t="inlineStr">
        <is>
          <t>n/a (not exposed in fetch)</t>
        </is>
      </c>
      <c r="F11" s="14" t="inlineStr">
        <is>
          <t>n/a (not exposed in fetch)</t>
        </is>
      </c>
      <c r="G11" s="14" t="inlineStr">
        <is>
          <t>n/a (not exposed in fetch)</t>
        </is>
      </c>
      <c r="H11" s="14" t="n"/>
      <c r="I11" s="14" t="n"/>
      <c r="J11" s="14" t="n"/>
      <c r="K11" s="14" t="n"/>
      <c r="L11" s="14" t="n"/>
    </row>
    <row r="12">
      <c r="A12" s="11" t="inlineStr">
        <is>
          <t>On-page</t>
        </is>
      </c>
      <c r="B12" s="15" t="inlineStr">
        <is>
          <t>Meta description length (chars)</t>
        </is>
      </c>
      <c r="C12" s="13" t="inlineStr">
        <is>
          <t>P</t>
        </is>
      </c>
      <c r="D12" s="14">
        <f>IF(D11="","",LEN(D11))</f>
        <v/>
      </c>
      <c r="E12" s="14">
        <f>IF(E11="","",LEN(E11))</f>
        <v/>
      </c>
      <c r="F12" s="14">
        <f>IF(F11="","",LEN(F11))</f>
        <v/>
      </c>
      <c r="G12" s="14">
        <f>IF(G11="","",LEN(G11))</f>
        <v/>
      </c>
      <c r="H12" s="14">
        <f>IF(H11="","",LEN(H11))</f>
        <v/>
      </c>
      <c r="I12" s="14">
        <f>IF(I11="","",LEN(I11))</f>
        <v/>
      </c>
      <c r="J12" s="14">
        <f>IF(J11="","",LEN(J11))</f>
        <v/>
      </c>
      <c r="K12" s="14">
        <f>IF(K11="","",LEN(K11))</f>
        <v/>
      </c>
      <c r="L12" s="16" t="inlineStr">
        <is>
          <t>best 140–155</t>
        </is>
      </c>
    </row>
    <row r="13">
      <c r="A13" s="11" t="inlineStr">
        <is>
          <t>On-page</t>
        </is>
      </c>
      <c r="B13" s="15" t="inlineStr">
        <is>
          <t>H1</t>
        </is>
      </c>
      <c r="C13" s="13" t="inlineStr">
        <is>
          <t>P</t>
        </is>
      </c>
      <c r="D13" s="14" t="inlineStr">
        <is>
          <t>Best taxi service in Haridwar from Rajputana Cabs</t>
        </is>
      </c>
      <c r="E13" s="14" t="inlineStr">
        <is>
          <t>Haridwar Taxi Service</t>
        </is>
      </c>
      <c r="F13" s="14" t="inlineStr">
        <is>
          <t>Taxi Service in Haridwar</t>
        </is>
      </c>
      <c r="G13" s="14" t="inlineStr">
        <is>
          <t>Haridwar Car Rental</t>
        </is>
      </c>
      <c r="H13" s="14" t="n"/>
      <c r="I13" s="14" t="n"/>
      <c r="J13" s="14" t="n"/>
      <c r="K13" s="14" t="n"/>
      <c r="L13" s="14" t="n"/>
    </row>
    <row r="14">
      <c r="A14" s="11" t="inlineStr">
        <is>
          <t>On-page</t>
        </is>
      </c>
      <c r="B14" s="15" t="inlineStr">
        <is>
          <t>H2 headings (key ones)</t>
        </is>
      </c>
      <c r="C14" s="13" t="inlineStr">
        <is>
          <t>P</t>
        </is>
      </c>
      <c r="D14" s="14" t="inlineStr">
        <is>
          <t>Haridwar Cab Fare Chart | Transportation service in Haridwar | One side taxi service from Haridwar | Char Dham Yatra related tours from Haridwar | Haridwar Tourism | FAQ on Taxi service in Haridwar</t>
        </is>
      </c>
      <c r="E14" s="14" t="inlineStr">
        <is>
          <t>Haridwar taxi booking | Taxi Services in Haridwar | Rishikesh/Corbett/Kanatal/Chopta/Auli/Nainital/Dehradun/Neelkanth Taxi | 2026 Chardham Yatra Package from Haridwar | Haridwar Taxi Car Rental Types | Swift Dzire / Innova Crysta / Ertiga / Tempo Traveller | Google Customer Reviews</t>
        </is>
      </c>
      <c r="F14" s="14" t="inlineStr">
        <is>
          <t>Haridwar/Delhi to Chardham Taxi Service | Best Taxi Service in Uttarakhand | Taxi Rental Service in Haridwar | Car Rental Rates | Our Cars Gallery | Why Choose Taxi service in Haridwar? | What Our Customers Say | FAQs | Approved By</t>
        </is>
      </c>
      <c r="G14" s="14" t="inlineStr">
        <is>
          <t>Chardham Yatra Car | Dehradun Airport Car | Best Car Rentals in Haridwar | Car Rental Types | Haridwar Car Rental Services | Quick Enquiry Form | Our Satisfied Customers | Partners &amp; Affiliations</t>
        </is>
      </c>
      <c r="H14" s="14" t="n"/>
      <c r="I14" s="14" t="n"/>
      <c r="J14" s="14" t="n"/>
      <c r="K14" s="14" t="n"/>
      <c r="L14" s="14" t="n"/>
    </row>
    <row r="15">
      <c r="A15" s="11" t="inlineStr">
        <is>
          <t>On-page</t>
        </is>
      </c>
      <c r="B15" s="15" t="inlineStr">
        <is>
          <t>Word count</t>
        </is>
      </c>
      <c r="C15" s="13" t="inlineStr">
        <is>
          <t>P</t>
        </is>
      </c>
      <c r="D15" s="14" t="n">
        <v>3750</v>
      </c>
      <c r="E15" s="14" t="n">
        <v>2300</v>
      </c>
      <c r="F15" s="14" t="n">
        <v>2200</v>
      </c>
      <c r="G15" s="14" t="n">
        <v>1900</v>
      </c>
      <c r="H15" s="14" t="n"/>
      <c r="I15" s="14" t="n"/>
      <c r="J15" s="14" t="n"/>
      <c r="K15" s="14" t="n"/>
      <c r="L15" s="16" t="inlineStr">
        <is>
          <t>benchmark</t>
        </is>
      </c>
    </row>
    <row r="16">
      <c r="A16" s="11" t="inlineStr">
        <is>
          <t>On-page</t>
        </is>
      </c>
      <c r="B16" s="15" t="inlineStr">
        <is>
          <t>Content Type</t>
        </is>
      </c>
      <c r="C16" s="13" t="inlineStr">
        <is>
          <t>J</t>
        </is>
      </c>
      <c r="D16" s="14" t="inlineStr">
        <is>
          <t>service</t>
        </is>
      </c>
      <c r="E16" s="14" t="inlineStr">
        <is>
          <t>service</t>
        </is>
      </c>
      <c r="F16" s="14" t="inlineStr">
        <is>
          <t>service</t>
        </is>
      </c>
      <c r="G16" s="14" t="inlineStr">
        <is>
          <t>service</t>
        </is>
      </c>
      <c r="H16" s="14" t="n"/>
      <c r="I16" s="14" t="n"/>
      <c r="J16" s="14" t="n"/>
      <c r="K16" s="14" t="n"/>
      <c r="L16" s="16" t="inlineStr">
        <is>
          <t>guide/service/blog/product/comparison</t>
        </is>
      </c>
    </row>
    <row r="17">
      <c r="A17" s="11" t="inlineStr">
        <is>
          <t>On-page</t>
        </is>
      </c>
      <c r="B17" s="15" t="inlineStr">
        <is>
          <t>Content FORMAT mix</t>
        </is>
      </c>
      <c r="C17" s="13" t="inlineStr">
        <is>
          <t>J</t>
        </is>
      </c>
      <c r="D17" s="14" t="inlineStr">
        <is>
          <t>text + lists + one large table + images</t>
        </is>
      </c>
      <c r="E17" s="14" t="inlineStr">
        <is>
          <t>text + lists + images; no tables</t>
        </is>
      </c>
      <c r="F17" s="14" t="inlineStr">
        <is>
          <t>text + table + large image gallery</t>
        </is>
      </c>
      <c r="G17" s="14" t="inlineStr">
        <is>
          <t>text + images + enquiry form; no tables</t>
        </is>
      </c>
      <c r="H17" s="14" t="n"/>
      <c r="I17" s="14" t="n"/>
      <c r="J17" s="14" t="n"/>
      <c r="K17" s="14" t="n"/>
      <c r="L17" s="16" t="inlineStr">
        <is>
          <t>text / paragraphs / lists / audio / video / images</t>
        </is>
      </c>
    </row>
    <row r="18">
      <c r="A18" s="11" t="inlineStr">
        <is>
          <t>On-page</t>
        </is>
      </c>
      <c r="B18" s="15" t="inlineStr">
        <is>
          <t>Page STRUCTURE</t>
        </is>
      </c>
      <c r="C18" s="13" t="inlineStr">
        <is>
          <t>J</t>
        </is>
      </c>
      <c r="D18" s="14" t="inlineStr">
        <is>
          <t>table-led service page</t>
        </is>
      </c>
      <c r="E18" s="14" t="inlineStr">
        <is>
          <t>listicle service page</t>
        </is>
      </c>
      <c r="F18" s="14" t="inlineStr">
        <is>
          <t>table-led service page</t>
        </is>
      </c>
      <c r="G18" s="14" t="inlineStr">
        <is>
          <t>listicle service page</t>
        </is>
      </c>
      <c r="H18" s="14" t="n"/>
      <c r="I18" s="14" t="n"/>
      <c r="J18" s="14" t="n"/>
      <c r="K18" s="14" t="n"/>
      <c r="L18" s="16" t="inlineStr">
        <is>
          <t>listicle / step-by-step / Q&amp;A / narrative / table-led / pillar</t>
        </is>
      </c>
    </row>
    <row r="19">
      <c r="A19" s="11" t="inlineStr">
        <is>
          <t>On-page</t>
        </is>
      </c>
      <c r="B19" s="15" t="inlineStr">
        <is>
          <t>URL Slug</t>
        </is>
      </c>
      <c r="C19" s="13" t="inlineStr">
        <is>
          <t>P</t>
        </is>
      </c>
      <c r="D19" s="14" t="inlineStr">
        <is>
          <t>/haridwar/</t>
        </is>
      </c>
      <c r="E19" s="14" t="inlineStr">
        <is>
          <t>/</t>
        </is>
      </c>
      <c r="F19" s="14" t="inlineStr">
        <is>
          <t>/</t>
        </is>
      </c>
      <c r="G19" s="14" t="inlineStr">
        <is>
          <t>/</t>
        </is>
      </c>
      <c r="H19" s="14" t="n"/>
      <c r="I19" s="14" t="n"/>
      <c r="J19" s="14" t="n"/>
      <c r="K19" s="14" t="n"/>
      <c r="L19" s="14" t="n"/>
    </row>
    <row r="20">
      <c r="A20" s="11" t="inlineStr">
        <is>
          <t>On-page</t>
        </is>
      </c>
      <c r="B20" s="15" t="inlineStr">
        <is>
          <t>URL length (chars)</t>
        </is>
      </c>
      <c r="C20" s="13" t="inlineStr">
        <is>
          <t>P</t>
        </is>
      </c>
      <c r="D20" s="14">
        <f>IF(D6="","",LEN(D6))</f>
        <v/>
      </c>
      <c r="E20" s="14">
        <f>IF(E6="","",LEN(E6))</f>
        <v/>
      </c>
      <c r="F20" s="14">
        <f>IF(F6="","",LEN(F6))</f>
        <v/>
      </c>
      <c r="G20" s="14">
        <f>IF(G6="","",LEN(G6))</f>
        <v/>
      </c>
      <c r="H20" s="14">
        <f>IF(H6="","",LEN(H6))</f>
        <v/>
      </c>
      <c r="I20" s="14">
        <f>IF(I6="","",LEN(I6))</f>
        <v/>
      </c>
      <c r="J20" s="14">
        <f>IF(J6="","",LEN(J6))</f>
        <v/>
      </c>
      <c r="K20" s="14">
        <f>IF(K6="","",LEN(K6))</f>
        <v/>
      </c>
      <c r="L20" s="16" t="inlineStr">
        <is>
          <t>shorter = better</t>
        </is>
      </c>
    </row>
    <row r="21">
      <c r="A21" s="11" t="inlineStr">
        <is>
          <t>On-page</t>
        </is>
      </c>
      <c r="B21" s="15" t="inlineStr">
        <is>
          <t>Keyword in URL?  (Y/N)</t>
        </is>
      </c>
      <c r="C21" s="13" t="inlineStr">
        <is>
          <t>J</t>
        </is>
      </c>
      <c r="D21" s="14" t="inlineStr">
        <is>
          <t>N</t>
        </is>
      </c>
      <c r="E21" s="14" t="inlineStr">
        <is>
          <t>N</t>
        </is>
      </c>
      <c r="F21" s="14" t="inlineStr">
        <is>
          <t>N</t>
        </is>
      </c>
      <c r="G21" s="14" t="inlineStr">
        <is>
          <t>N</t>
        </is>
      </c>
      <c r="H21" s="14" t="n"/>
      <c r="I21" s="14" t="n"/>
      <c r="J21" s="14" t="n"/>
      <c r="K21" s="14" t="n"/>
      <c r="L21" s="14" t="n"/>
    </row>
    <row r="22">
      <c r="A22" s="11" t="inlineStr">
        <is>
          <t>On-page</t>
        </is>
      </c>
      <c r="B22" s="15" t="inlineStr">
        <is>
          <t>Location in URL?  (Y/N)</t>
        </is>
      </c>
      <c r="C22" s="13" t="inlineStr">
        <is>
          <t>J</t>
        </is>
      </c>
      <c r="D22" s="14" t="inlineStr">
        <is>
          <t>Y</t>
        </is>
      </c>
      <c r="E22" s="14" t="inlineStr">
        <is>
          <t>N</t>
        </is>
      </c>
      <c r="F22" s="14" t="inlineStr">
        <is>
          <t>N</t>
        </is>
      </c>
      <c r="G22" s="14" t="inlineStr">
        <is>
          <t>N</t>
        </is>
      </c>
      <c r="H22" s="14" t="n"/>
      <c r="I22" s="14" t="n"/>
      <c r="J22" s="14" t="n"/>
      <c r="K22" s="14" t="n"/>
      <c r="L22" s="14" t="n"/>
    </row>
    <row r="23" ht="20" customHeight="1">
      <c r="A23" s="17" t="inlineStr">
        <is>
          <t>B · TARGETING</t>
        </is>
      </c>
    </row>
    <row r="24">
      <c r="A24" s="11" t="inlineStr">
        <is>
          <t>Targeting</t>
        </is>
      </c>
      <c r="B24" s="15" t="inlineStr">
        <is>
          <t>Target Keyword</t>
        </is>
      </c>
      <c r="C24" s="13" t="inlineStr">
        <is>
          <t>J</t>
        </is>
      </c>
      <c r="D24" s="14" t="inlineStr">
        <is>
          <t>taxi service in haridwar</t>
        </is>
      </c>
      <c r="E24" s="14" t="inlineStr">
        <is>
          <t>haridwar taxi service</t>
        </is>
      </c>
      <c r="F24" s="14" t="inlineStr">
        <is>
          <t>taxi service in haridwar</t>
        </is>
      </c>
      <c r="G24" s="14" t="inlineStr">
        <is>
          <t>haridwar car rental</t>
        </is>
      </c>
      <c r="H24" s="14" t="n"/>
      <c r="I24" s="14" t="n"/>
      <c r="J24" s="14" t="n"/>
      <c r="K24" s="14" t="n"/>
      <c r="L24" s="14" t="n"/>
    </row>
    <row r="25">
      <c r="A25" s="11" t="inlineStr">
        <is>
          <t>Targeting</t>
        </is>
      </c>
      <c r="B25" s="15" t="inlineStr">
        <is>
          <t>Location Targeted</t>
        </is>
      </c>
      <c r="C25" s="13" t="inlineStr">
        <is>
          <t>J</t>
        </is>
      </c>
      <c r="D25" s="14" t="inlineStr">
        <is>
          <t>Haridwar</t>
        </is>
      </c>
      <c r="E25" s="14" t="inlineStr">
        <is>
          <t>Haridwar</t>
        </is>
      </c>
      <c r="F25" s="14" t="inlineStr">
        <is>
          <t>Haridwar</t>
        </is>
      </c>
      <c r="G25" s="14" t="inlineStr">
        <is>
          <t>Haridwar</t>
        </is>
      </c>
      <c r="H25" s="14" t="n"/>
      <c r="I25" s="14" t="n"/>
      <c r="J25" s="14" t="n"/>
      <c r="K25" s="14" t="n"/>
      <c r="L25" s="14" t="n"/>
    </row>
    <row r="26">
      <c r="A26" s="11" t="inlineStr">
        <is>
          <t>Targeting</t>
        </is>
      </c>
      <c r="B26" s="15" t="inlineStr">
        <is>
          <t>Search Intent</t>
        </is>
      </c>
      <c r="C26" s="13" t="inlineStr">
        <is>
          <t>J</t>
        </is>
      </c>
      <c r="D26" s="14" t="inlineStr">
        <is>
          <t>transactional</t>
        </is>
      </c>
      <c r="E26" s="14" t="inlineStr">
        <is>
          <t>transactional</t>
        </is>
      </c>
      <c r="F26" s="14" t="inlineStr">
        <is>
          <t>transactional</t>
        </is>
      </c>
      <c r="G26" s="14" t="inlineStr">
        <is>
          <t>transactional</t>
        </is>
      </c>
      <c r="H26" s="14" t="n"/>
      <c r="I26" s="14" t="n"/>
      <c r="J26" s="14" t="n"/>
      <c r="K26" s="14" t="n"/>
      <c r="L26" s="16" t="inlineStr">
        <is>
          <t>info/commercial/transactional/nav</t>
        </is>
      </c>
    </row>
    <row r="27" ht="20" customHeight="1">
      <c r="A27" s="17" t="inlineStr">
        <is>
          <t>C · CONTENT RICHNESS</t>
        </is>
      </c>
    </row>
    <row r="28">
      <c r="A28" s="11" t="inlineStr">
        <is>
          <t>Richness</t>
        </is>
      </c>
      <c r="B28" s="15" t="inlineStr">
        <is>
          <t>Unique images (count)</t>
        </is>
      </c>
      <c r="C28" s="13" t="inlineStr">
        <is>
          <t>P</t>
        </is>
      </c>
      <c r="D28" s="14" t="n">
        <v>20</v>
      </c>
      <c r="E28" s="14" t="n">
        <v>16</v>
      </c>
      <c r="F28" s="14" t="n">
        <v>30</v>
      </c>
      <c r="G28" s="14" t="n">
        <v>20</v>
      </c>
      <c r="H28" s="14" t="n"/>
      <c r="I28" s="14" t="n"/>
      <c r="J28" s="14" t="n"/>
      <c r="K28" s="14" t="n"/>
      <c r="L28" s="16" t="inlineStr">
        <is>
          <t>benchmark</t>
        </is>
      </c>
    </row>
    <row r="29">
      <c r="A29" s="11" t="inlineStr">
        <is>
          <t>Richness</t>
        </is>
      </c>
      <c r="B29" s="15" t="inlineStr">
        <is>
          <t>Videos embedded?  (Y/N)</t>
        </is>
      </c>
      <c r="C29" s="13" t="inlineStr">
        <is>
          <t>P</t>
        </is>
      </c>
      <c r="D29" s="14" t="inlineStr">
        <is>
          <t>N</t>
        </is>
      </c>
      <c r="E29" s="14" t="inlineStr">
        <is>
          <t>N</t>
        </is>
      </c>
      <c r="F29" s="14" t="inlineStr">
        <is>
          <t>N</t>
        </is>
      </c>
      <c r="G29" s="14" t="inlineStr">
        <is>
          <t>N</t>
        </is>
      </c>
      <c r="H29" s="14" t="n"/>
      <c r="I29" s="14" t="n"/>
      <c r="J29" s="14" t="n"/>
      <c r="K29" s="14" t="n"/>
      <c r="L29" s="14" t="n"/>
    </row>
    <row r="30">
      <c r="A30" s="11" t="inlineStr">
        <is>
          <t>Richness</t>
        </is>
      </c>
      <c r="B30" s="15" t="inlineStr">
        <is>
          <t>Maps embedded?  (Y/N)</t>
        </is>
      </c>
      <c r="C30" s="13" t="inlineStr">
        <is>
          <t>P</t>
        </is>
      </c>
      <c r="D30" s="14" t="inlineStr">
        <is>
          <t>N</t>
        </is>
      </c>
      <c r="E30" s="14" t="inlineStr">
        <is>
          <t>N</t>
        </is>
      </c>
      <c r="F30" s="14" t="inlineStr">
        <is>
          <t>N</t>
        </is>
      </c>
      <c r="G30" s="14" t="inlineStr">
        <is>
          <t>N</t>
        </is>
      </c>
      <c r="H30" s="14" t="n"/>
      <c r="I30" s="14" t="n"/>
      <c r="J30" s="14" t="n"/>
      <c r="K30" s="14" t="n"/>
      <c r="L30" s="14" t="n"/>
    </row>
    <row r="31">
      <c r="A31" s="11" t="inlineStr">
        <is>
          <t>Richness</t>
        </is>
      </c>
      <c r="B31" s="15" t="inlineStr">
        <is>
          <t>Tables used?  (Y/N)</t>
        </is>
      </c>
      <c r="C31" s="13" t="inlineStr">
        <is>
          <t>P</t>
        </is>
      </c>
      <c r="D31" s="14" t="inlineStr">
        <is>
          <t>Y</t>
        </is>
      </c>
      <c r="E31" s="14" t="inlineStr">
        <is>
          <t>N</t>
        </is>
      </c>
      <c r="F31" s="14" t="inlineStr">
        <is>
          <t>Y</t>
        </is>
      </c>
      <c r="G31" s="14" t="inlineStr">
        <is>
          <t>N</t>
        </is>
      </c>
      <c r="H31" s="14" t="n"/>
      <c r="I31" s="14" t="n"/>
      <c r="J31" s="14" t="n"/>
      <c r="K31" s="14" t="n"/>
      <c r="L31" s="14" t="n"/>
    </row>
    <row r="32">
      <c r="A32" s="11" t="inlineStr">
        <is>
          <t>Richness</t>
        </is>
      </c>
      <c r="B32" s="15" t="inlineStr">
        <is>
          <t>FAQ section present?  (Y/N)</t>
        </is>
      </c>
      <c r="C32" s="13" t="inlineStr">
        <is>
          <t>P</t>
        </is>
      </c>
      <c r="D32" s="14" t="inlineStr">
        <is>
          <t>Y</t>
        </is>
      </c>
      <c r="E32" s="14" t="inlineStr">
        <is>
          <t>N</t>
        </is>
      </c>
      <c r="F32" s="14" t="inlineStr">
        <is>
          <t>Y</t>
        </is>
      </c>
      <c r="G32" s="14" t="inlineStr">
        <is>
          <t>N</t>
        </is>
      </c>
      <c r="H32" s="14" t="n"/>
      <c r="I32" s="14" t="n"/>
      <c r="J32" s="14" t="n"/>
      <c r="K32" s="14" t="n"/>
      <c r="L32" s="14" t="n"/>
    </row>
    <row r="33">
      <c r="A33" s="11" t="inlineStr">
        <is>
          <t>Richness</t>
        </is>
      </c>
      <c r="B33" s="15" t="inlineStr">
        <is>
          <t>FAQ count (number)</t>
        </is>
      </c>
      <c r="C33" s="13" t="inlineStr">
        <is>
          <t>P</t>
        </is>
      </c>
      <c r="D33" s="14" t="n">
        <v>3</v>
      </c>
      <c r="E33" s="14" t="n">
        <v>0</v>
      </c>
      <c r="F33" s="14" t="n">
        <v>6</v>
      </c>
      <c r="G33" s="14" t="n">
        <v>0</v>
      </c>
      <c r="H33" s="14" t="n"/>
      <c r="I33" s="14" t="n"/>
      <c r="J33" s="14" t="n"/>
      <c r="K33" s="14" t="n"/>
      <c r="L33" s="16" t="inlineStr">
        <is>
          <t>benchmark</t>
        </is>
      </c>
    </row>
    <row r="34">
      <c r="A34" s="11" t="inlineStr">
        <is>
          <t>Richness</t>
        </is>
      </c>
      <c r="B34" s="15" t="inlineStr">
        <is>
          <t>FAQ questions (list)</t>
        </is>
      </c>
      <c r="C34" s="13" t="inlineStr">
        <is>
          <t>P</t>
        </is>
      </c>
      <c r="D34" s="14" t="inlineStr">
        <is>
          <t>What is the taxi fare for Haridwar to Rishikesh? | Can I get a one side cab for Kedarnath from Haridwar? | What is the cost of Taxi service in Haridwar for Char Dham Yatra?</t>
        </is>
      </c>
      <c r="E34" s="14" t="inlineStr">
        <is>
          <t>n/a — no FAQ section</t>
        </is>
      </c>
      <c r="F34" s="14" t="inlineStr">
        <is>
          <t>How to book? | Government approved? | Tour packages available? | How to select vehicle? | How to contact? | Payment options?</t>
        </is>
      </c>
      <c r="G34" s="14" t="inlineStr">
        <is>
          <t>n/a — no FAQ section</t>
        </is>
      </c>
      <c r="H34" s="14" t="n"/>
      <c r="I34" s="14" t="n"/>
      <c r="J34" s="14" t="n"/>
      <c r="K34" s="14" t="n"/>
      <c r="L34" s="14" t="n"/>
    </row>
    <row r="35">
      <c r="A35" s="11" t="inlineStr">
        <is>
          <t>Richness</t>
        </is>
      </c>
      <c r="B35" s="15" t="inlineStr">
        <is>
          <t>Internal links (count)</t>
        </is>
      </c>
      <c r="C35" s="13" t="inlineStr">
        <is>
          <t>P</t>
        </is>
      </c>
      <c r="D35" s="14" t="n">
        <v>40</v>
      </c>
      <c r="E35" s="14" t="n">
        <v>50</v>
      </c>
      <c r="F35" s="14" t="n">
        <v>15</v>
      </c>
      <c r="G35" s="14" t="n">
        <v>25</v>
      </c>
      <c r="H35" s="14" t="n"/>
      <c r="I35" s="14" t="n"/>
      <c r="J35" s="14" t="n"/>
      <c r="K35" s="14" t="n"/>
      <c r="L35" s="16" t="inlineStr">
        <is>
          <t>benchmark</t>
        </is>
      </c>
    </row>
    <row r="36">
      <c r="A36" s="11" t="inlineStr">
        <is>
          <t>Richness</t>
        </is>
      </c>
      <c r="B36" s="15" t="inlineStr">
        <is>
          <t>Internal linking STRATEGY</t>
        </is>
      </c>
      <c r="C36" s="13" t="inlineStr">
        <is>
          <t>J</t>
        </is>
      </c>
      <c r="D36" s="14" t="inlineStr">
        <is>
          <t>Hub-spoke into city + route pages; anchors are route names</t>
        </is>
      </c>
      <c r="E36" s="14" t="inlineStr">
        <is>
          <t>Heavy internal linking to destination taxi pages</t>
        </is>
      </c>
      <c r="F36" s="14" t="inlineStr">
        <is>
          <t>Shallow — home/about/blog/contact only</t>
        </is>
      </c>
      <c r="G36" s="14" t="inlineStr">
        <is>
          <t>Cross-links to their own network of sibling domains</t>
        </is>
      </c>
      <c r="H36" s="14" t="n"/>
      <c r="I36" s="14" t="n"/>
      <c r="J36" s="14" t="n"/>
      <c r="K36" s="14" t="n"/>
      <c r="L36" s="16" t="inlineStr">
        <is>
          <t>what they link to / anchor style / hub-spoke</t>
        </is>
      </c>
    </row>
    <row r="37">
      <c r="A37" s="11" t="inlineStr">
        <is>
          <t>Richness</t>
        </is>
      </c>
      <c r="B37" s="15" t="inlineStr">
        <is>
          <t>External links (count)</t>
        </is>
      </c>
      <c r="C37" s="13" t="inlineStr">
        <is>
          <t>P</t>
        </is>
      </c>
      <c r="D37" s="14" t="n">
        <v>6</v>
      </c>
      <c r="E37" s="14" t="n">
        <v>4</v>
      </c>
      <c r="F37" s="14" t="n">
        <v>3</v>
      </c>
      <c r="G37" s="14" t="n">
        <v>8</v>
      </c>
      <c r="H37" s="14" t="n"/>
      <c r="I37" s="14" t="n"/>
      <c r="J37" s="14" t="n"/>
      <c r="K37" s="14" t="n"/>
      <c r="L37" s="16" t="inlineStr">
        <is>
          <t>benchmark</t>
        </is>
      </c>
    </row>
    <row r="38" ht="20" customHeight="1">
      <c r="A38" s="17" t="inlineStr">
        <is>
          <t>D · QUALITY / E-E-A-T / GEO</t>
        </is>
      </c>
    </row>
    <row r="39">
      <c r="A39" s="11" t="inlineStr">
        <is>
          <t>Quality</t>
        </is>
      </c>
      <c r="B39" s="15" t="inlineStr">
        <is>
          <t>FAQ rich / direct answers?  (Y/N)</t>
        </is>
      </c>
      <c r="C39" s="13" t="inlineStr">
        <is>
          <t>J</t>
        </is>
      </c>
      <c r="D39" s="14" t="inlineStr">
        <is>
          <t>Y</t>
        </is>
      </c>
      <c r="E39" s="14" t="inlineStr">
        <is>
          <t>N</t>
        </is>
      </c>
      <c r="F39" s="14" t="inlineStr">
        <is>
          <t>Y</t>
        </is>
      </c>
      <c r="G39" s="14" t="inlineStr">
        <is>
          <t>N</t>
        </is>
      </c>
      <c r="H39" s="14" t="n"/>
      <c r="I39" s="14" t="n"/>
      <c r="J39" s="14" t="n"/>
      <c r="K39" s="14" t="n"/>
      <c r="L39" s="16" t="inlineStr">
        <is>
          <t>GEO / AI-citation signal</t>
        </is>
      </c>
    </row>
    <row r="40">
      <c r="A40" s="11" t="inlineStr">
        <is>
          <t>Quality</t>
        </is>
      </c>
      <c r="B40" s="15" t="inlineStr">
        <is>
          <t>Conversational writing?  (Y/N)</t>
        </is>
      </c>
      <c r="C40" s="13" t="inlineStr">
        <is>
          <t>J</t>
        </is>
      </c>
      <c r="D40" s="14" t="inlineStr">
        <is>
          <t>N</t>
        </is>
      </c>
      <c r="E40" s="14" t="inlineStr">
        <is>
          <t>N</t>
        </is>
      </c>
      <c r="F40" s="14" t="inlineStr">
        <is>
          <t>N</t>
        </is>
      </c>
      <c r="G40" s="14" t="inlineStr">
        <is>
          <t>N</t>
        </is>
      </c>
      <c r="H40" s="14" t="n"/>
      <c r="I40" s="14" t="n"/>
      <c r="J40" s="14" t="n"/>
      <c r="K40" s="14" t="n"/>
      <c r="L40" s="14" t="n"/>
    </row>
    <row r="41">
      <c r="A41" s="11" t="inlineStr">
        <is>
          <t>Quality</t>
        </is>
      </c>
      <c r="B41" s="15" t="inlineStr">
        <is>
          <t>Definitions present?  (Y/N)</t>
        </is>
      </c>
      <c r="C41" s="13" t="inlineStr">
        <is>
          <t>J</t>
        </is>
      </c>
      <c r="D41" s="14" t="inlineStr">
        <is>
          <t>N</t>
        </is>
      </c>
      <c r="E41" s="14" t="inlineStr">
        <is>
          <t>N</t>
        </is>
      </c>
      <c r="F41" s="14" t="inlineStr">
        <is>
          <t>N</t>
        </is>
      </c>
      <c r="G41" s="14" t="inlineStr">
        <is>
          <t>N</t>
        </is>
      </c>
      <c r="H41" s="14" t="n"/>
      <c r="I41" s="14" t="n"/>
      <c r="J41" s="14" t="n"/>
      <c r="K41" s="14" t="n"/>
      <c r="L41" s="14" t="n"/>
    </row>
    <row r="42">
      <c r="A42" s="11" t="inlineStr">
        <is>
          <t>Quality</t>
        </is>
      </c>
      <c r="B42" s="15" t="inlineStr">
        <is>
          <t>Statistics / data cited?  (Y/N)</t>
        </is>
      </c>
      <c r="C42" s="13" t="inlineStr">
        <is>
          <t>P</t>
        </is>
      </c>
      <c r="D42" s="14" t="inlineStr">
        <is>
          <t>N</t>
        </is>
      </c>
      <c r="E42" s="14" t="inlineStr">
        <is>
          <t>N</t>
        </is>
      </c>
      <c r="F42" s="14" t="inlineStr">
        <is>
          <t>N</t>
        </is>
      </c>
      <c r="G42" s="14" t="inlineStr">
        <is>
          <t>N</t>
        </is>
      </c>
      <c r="H42" s="14" t="n"/>
      <c r="I42" s="14" t="n"/>
      <c r="J42" s="14" t="n"/>
      <c r="K42" s="14" t="n"/>
      <c r="L42" s="14" t="n"/>
    </row>
    <row r="43">
      <c r="A43" s="11" t="inlineStr">
        <is>
          <t>Quality</t>
        </is>
      </c>
      <c r="B43" s="15" t="inlineStr">
        <is>
          <t>Author entity?  (Y/N + name)</t>
        </is>
      </c>
      <c r="C43" s="13" t="inlineStr">
        <is>
          <t>P</t>
        </is>
      </c>
      <c r="D43" s="14" t="inlineStr">
        <is>
          <t>N — brand only (Rajputana Cabs, dated 2026-07-02)</t>
        </is>
      </c>
      <c r="E43" s="14" t="inlineStr">
        <is>
          <t>N</t>
        </is>
      </c>
      <c r="F43" s="14" t="inlineStr">
        <is>
          <t>N</t>
        </is>
      </c>
      <c r="G43" s="14" t="inlineStr">
        <is>
          <t>N</t>
        </is>
      </c>
      <c r="H43" s="14" t="n"/>
      <c r="I43" s="14" t="n"/>
      <c r="J43" s="14" t="n"/>
      <c r="K43" s="14" t="n"/>
      <c r="L43" s="14" t="n"/>
    </row>
    <row r="44">
      <c r="A44" s="11" t="inlineStr">
        <is>
          <t>Quality</t>
        </is>
      </c>
      <c r="B44" s="15" t="inlineStr">
        <is>
          <t>Citations / sources to authority?  (Y/N)</t>
        </is>
      </c>
      <c r="C44" s="13" t="inlineStr">
        <is>
          <t>P</t>
        </is>
      </c>
      <c r="D44" s="14" t="inlineStr">
        <is>
          <t>N</t>
        </is>
      </c>
      <c r="E44" s="14" t="inlineStr">
        <is>
          <t>N</t>
        </is>
      </c>
      <c r="F44" s="14" t="inlineStr">
        <is>
          <t>N</t>
        </is>
      </c>
      <c r="G44" s="14" t="inlineStr">
        <is>
          <t>N</t>
        </is>
      </c>
      <c r="H44" s="14" t="n"/>
      <c r="I44" s="14" t="n"/>
      <c r="J44" s="14" t="n"/>
      <c r="K44" s="14" t="n"/>
      <c r="L44" s="14" t="n"/>
    </row>
    <row r="45">
      <c r="A45" s="11" t="inlineStr">
        <is>
          <t>Quality</t>
        </is>
      </c>
      <c r="B45" s="15" t="inlineStr">
        <is>
          <t>Structured data / schema types</t>
        </is>
      </c>
      <c r="C45" s="13" t="inlineStr">
        <is>
          <t>P</t>
        </is>
      </c>
      <c r="D45" s="14" t="inlineStr">
        <is>
          <t>n/a — none detected</t>
        </is>
      </c>
      <c r="E45" s="14" t="inlineStr">
        <is>
          <t>n/a — none detected</t>
        </is>
      </c>
      <c r="F45" s="14" t="inlineStr">
        <is>
          <t>n/a — none detected</t>
        </is>
      </c>
      <c r="G45" s="14" t="inlineStr">
        <is>
          <t>n/a — none detected</t>
        </is>
      </c>
      <c r="H45" s="14" t="n"/>
      <c r="I45" s="14" t="n"/>
      <c r="J45" s="14" t="n"/>
      <c r="K45" s="14" t="n"/>
      <c r="L45" s="16" t="inlineStr">
        <is>
          <t>list JSON-LD types</t>
        </is>
      </c>
    </row>
    <row r="46">
      <c r="A46" s="11" t="inlineStr">
        <is>
          <t>Quality</t>
        </is>
      </c>
      <c r="B46" s="15" t="inlineStr">
        <is>
          <t>Has schema?  (Y/N)</t>
        </is>
      </c>
      <c r="C46" s="13" t="inlineStr">
        <is>
          <t>P</t>
        </is>
      </c>
      <c r="D46" s="14" t="inlineStr">
        <is>
          <t>N</t>
        </is>
      </c>
      <c r="E46" s="14" t="inlineStr">
        <is>
          <t>N</t>
        </is>
      </c>
      <c r="F46" s="14" t="inlineStr">
        <is>
          <t>N</t>
        </is>
      </c>
      <c r="G46" s="14" t="inlineStr">
        <is>
          <t>N</t>
        </is>
      </c>
      <c r="H46" s="14" t="n"/>
      <c r="I46" s="14" t="n"/>
      <c r="J46" s="14" t="n"/>
      <c r="K46" s="14" t="n"/>
      <c r="L46" s="14" t="n"/>
    </row>
    <row r="47">
      <c r="A47" s="11" t="inlineStr">
        <is>
          <t>Quality</t>
        </is>
      </c>
      <c r="B47" s="15" t="inlineStr">
        <is>
          <t>Topical authority signal?  (Y/N)</t>
        </is>
      </c>
      <c r="C47" s="13" t="inlineStr">
        <is>
          <t>J</t>
        </is>
      </c>
      <c r="D47" s="14" t="inlineStr">
        <is>
          <t>Y</t>
        </is>
      </c>
      <c r="E47" s="14" t="inlineStr">
        <is>
          <t>Y</t>
        </is>
      </c>
      <c r="F47" s="14" t="inlineStr">
        <is>
          <t>N</t>
        </is>
      </c>
      <c r="G47" s="14" t="inlineStr">
        <is>
          <t>N</t>
        </is>
      </c>
      <c r="H47" s="14" t="n"/>
      <c r="I47" s="14" t="n"/>
      <c r="J47" s="14" t="n"/>
      <c r="K47" s="14" t="n"/>
      <c r="L47" s="16" t="inlineStr">
        <is>
          <t>cluster / related coverage</t>
        </is>
      </c>
    </row>
    <row r="48" ht="20" customHeight="1">
      <c r="A48" s="17" t="inlineStr">
        <is>
          <t>E · OFF-PAGE &amp; EXTERNAL</t>
        </is>
      </c>
    </row>
    <row r="49">
      <c r="A49" s="11" t="inlineStr">
        <is>
          <t>Off-page</t>
        </is>
      </c>
      <c r="B49" s="15" t="inlineStr">
        <is>
          <t>Reddit mentions?  (Y/N + note)</t>
        </is>
      </c>
      <c r="C49" s="13" t="inlineStr">
        <is>
          <t>S</t>
        </is>
      </c>
      <c r="D49" s="14" t="inlineStr">
        <is>
          <t>N</t>
        </is>
      </c>
      <c r="E49" s="14" t="inlineStr">
        <is>
          <t>N</t>
        </is>
      </c>
      <c r="F49" s="14" t="inlineStr">
        <is>
          <t>N</t>
        </is>
      </c>
      <c r="G49" s="14" t="inlineStr">
        <is>
          <t>N</t>
        </is>
      </c>
      <c r="H49" s="14" t="n"/>
      <c r="I49" s="14" t="n"/>
      <c r="J49" s="14" t="n"/>
      <c r="K49" s="14" t="n"/>
      <c r="L49" s="14" t="n"/>
    </row>
    <row r="50">
      <c r="A50" s="11" t="inlineStr">
        <is>
          <t>Off-page</t>
        </is>
      </c>
      <c r="B50" s="15" t="inlineStr">
        <is>
          <t>YouTube presence?  (Y/N + note)</t>
        </is>
      </c>
      <c r="C50" s="13" t="inlineStr">
        <is>
          <t>S</t>
        </is>
      </c>
      <c r="D50" s="14" t="inlineStr">
        <is>
          <t>N</t>
        </is>
      </c>
      <c r="E50" s="14" t="inlineStr">
        <is>
          <t>N</t>
        </is>
      </c>
      <c r="F50" s="14" t="inlineStr">
        <is>
          <t>N</t>
        </is>
      </c>
      <c r="G50" s="14" t="inlineStr">
        <is>
          <t>N</t>
        </is>
      </c>
      <c r="H50" s="14" t="n"/>
      <c r="I50" s="14" t="n"/>
      <c r="J50" s="14" t="n"/>
      <c r="K50" s="14" t="n"/>
      <c r="L50" s="14" t="n"/>
    </row>
    <row r="51">
      <c r="A51" s="11" t="inlineStr">
        <is>
          <t>Off-page</t>
        </is>
      </c>
      <c r="B51" s="15" t="inlineStr">
        <is>
          <t>GBP rating / review count (local)</t>
        </is>
      </c>
      <c r="C51" s="13" t="inlineStr">
        <is>
          <t>M</t>
        </is>
      </c>
      <c r="D51" s="14" t="inlineStr">
        <is>
          <t>n/a</t>
        </is>
      </c>
      <c r="E51" s="14" t="inlineStr">
        <is>
          <t>Testimonials on page (4 named), no rating shown</t>
        </is>
      </c>
      <c r="F51" s="14" t="inlineStr">
        <is>
          <t>Not shown</t>
        </is>
      </c>
      <c r="G51" s="14" t="inlineStr">
        <is>
          <t>2 testimonials, no rating</t>
        </is>
      </c>
      <c r="H51" s="14" t="n"/>
      <c r="I51" s="14" t="n"/>
      <c r="J51" s="14" t="n"/>
      <c r="K51" s="14" t="n"/>
      <c r="L51" s="14" t="n"/>
    </row>
    <row r="52">
      <c r="A52" s="11" t="inlineStr">
        <is>
          <t>Off-page</t>
        </is>
      </c>
      <c r="B52" s="15" t="inlineStr">
        <is>
          <t>Has GBP reviews?  (Y/N)</t>
        </is>
      </c>
      <c r="C52" s="13" t="inlineStr">
        <is>
          <t>M</t>
        </is>
      </c>
      <c r="D52" s="14" t="inlineStr">
        <is>
          <t>n/a</t>
        </is>
      </c>
      <c r="E52" s="14" t="inlineStr">
        <is>
          <t>Y</t>
        </is>
      </c>
      <c r="F52" s="14" t="inlineStr">
        <is>
          <t>N</t>
        </is>
      </c>
      <c r="G52" s="14" t="inlineStr">
        <is>
          <t>Y</t>
        </is>
      </c>
      <c r="H52" s="14" t="n"/>
      <c r="I52" s="14" t="n"/>
      <c r="J52" s="14" t="n"/>
      <c r="K52" s="14" t="n"/>
      <c r="L52" s="14" t="n"/>
    </row>
  </sheetData>
  <mergeCells count="5">
    <mergeCell ref="A38:L38"/>
    <mergeCell ref="A23:L23"/>
    <mergeCell ref="A8:L8"/>
    <mergeCell ref="A27:L27"/>
    <mergeCell ref="A48:L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34" customWidth="1" min="1" max="1"/>
    <col width="9" customWidth="1" min="2" max="2"/>
    <col width="9" customWidth="1" min="3" max="3"/>
    <col width="9" customWidth="1" min="4" max="4"/>
    <col width="46" customWidth="1" min="5" max="5"/>
    <col width="40" customWidth="1" min="6" max="6"/>
  </cols>
  <sheetData>
    <row r="1">
      <c r="A1" s="7" t="inlineStr">
        <is>
          <t>GAP ANALYSIS  —  auto-scored from the matrix</t>
        </is>
      </c>
    </row>
    <row r="2">
      <c r="A2" s="8" t="inlineStr">
        <is>
          <t>Fills itself as the matrix fills. Verdict column tells you which tier each feature is in.</t>
        </is>
      </c>
    </row>
    <row r="3">
      <c r="A3" s="18" t="inlineStr">
        <is>
          <t>Competitors analysed:</t>
        </is>
      </c>
      <c r="B3" s="19">
        <f>COUNTA('Extraction_Matrix'!$D$6:$K$6)</f>
        <v/>
      </c>
    </row>
    <row r="5" ht="20" customHeight="1">
      <c r="A5" s="20" t="inlineStr">
        <is>
          <t>PART 1 · BINARY FEATURE GAP  (3-TIER)</t>
        </is>
      </c>
    </row>
    <row r="6">
      <c r="A6" s="21" t="inlineStr">
        <is>
          <t>Feature</t>
        </is>
      </c>
      <c r="B6" s="21" t="inlineStr">
        <is>
          <t># have</t>
        </is>
      </c>
      <c r="C6" s="21" t="inlineStr">
        <is>
          <t>of N</t>
        </is>
      </c>
      <c r="D6" s="21" t="inlineStr">
        <is>
          <t>%</t>
        </is>
      </c>
      <c r="E6" s="21" t="inlineStr">
        <is>
          <t>Verdict</t>
        </is>
      </c>
      <c r="F6" s="21" t="inlineStr">
        <is>
          <t>Your move</t>
        </is>
      </c>
    </row>
    <row r="7">
      <c r="A7" s="22" t="inlineStr">
        <is>
          <t>Videos embedded</t>
        </is>
      </c>
      <c r="B7" s="23">
        <f>SUMPRODUCT(--(LEFT('Extraction_Matrix'!$D$29:$K$29,1)="Y"))</f>
        <v/>
      </c>
      <c r="C7" s="23">
        <f>COUNTA('Extraction_Matrix'!$D$6:$K$6)</f>
        <v/>
      </c>
      <c r="D7" s="24">
        <f>IF(C7=0,"",B7/C7)</f>
        <v/>
      </c>
      <c r="E7" s="25">
        <f>IF(C7=0,"",IF(B7=C7,"✅ MANDATORY — everyone has it",IF(B7=0,"🚀 OPPORTUNITY — nobody has it","⭐ ADVANTAGE — only some have it")))</f>
        <v/>
      </c>
      <c r="F7" s="25" t="n"/>
    </row>
    <row r="8">
      <c r="A8" s="22" t="inlineStr">
        <is>
          <t>Maps embedded</t>
        </is>
      </c>
      <c r="B8" s="23">
        <f>SUMPRODUCT(--(LEFT('Extraction_Matrix'!$D$30:$K$30,1)="Y"))</f>
        <v/>
      </c>
      <c r="C8" s="23">
        <f>COUNTA('Extraction_Matrix'!$D$6:$K$6)</f>
        <v/>
      </c>
      <c r="D8" s="24">
        <f>IF(C8=0,"",B8/C8)</f>
        <v/>
      </c>
      <c r="E8" s="25">
        <f>IF(C8=0,"",IF(B8=C8,"✅ MANDATORY — everyone has it",IF(B8=0,"🚀 OPPORTUNITY — nobody has it","⭐ ADVANTAGE — only some have it")))</f>
        <v/>
      </c>
      <c r="F8" s="25" t="n"/>
    </row>
    <row r="9">
      <c r="A9" s="22" t="inlineStr">
        <is>
          <t>Tables used</t>
        </is>
      </c>
      <c r="B9" s="23">
        <f>SUMPRODUCT(--(LEFT('Extraction_Matrix'!$D$31:$K$31,1)="Y"))</f>
        <v/>
      </c>
      <c r="C9" s="23">
        <f>COUNTA('Extraction_Matrix'!$D$6:$K$6)</f>
        <v/>
      </c>
      <c r="D9" s="24">
        <f>IF(C9=0,"",B9/C9)</f>
        <v/>
      </c>
      <c r="E9" s="25">
        <f>IF(C9=0,"",IF(B9=C9,"✅ MANDATORY — everyone has it",IF(B9=0,"🚀 OPPORTUNITY — nobody has it","⭐ ADVANTAGE — only some have it")))</f>
        <v/>
      </c>
      <c r="F9" s="25" t="n"/>
    </row>
    <row r="10">
      <c r="A10" s="22" t="inlineStr">
        <is>
          <t>FAQ section</t>
        </is>
      </c>
      <c r="B10" s="23">
        <f>SUMPRODUCT(--(LEFT('Extraction_Matrix'!$D$32:$K$32,1)="Y"))</f>
        <v/>
      </c>
      <c r="C10" s="23">
        <f>COUNTA('Extraction_Matrix'!$D$6:$K$6)</f>
        <v/>
      </c>
      <c r="D10" s="24">
        <f>IF(C10=0,"",B10/C10)</f>
        <v/>
      </c>
      <c r="E10" s="25">
        <f>IF(C10=0,"",IF(B10=C10,"✅ MANDATORY — everyone has it",IF(B10=0,"🚀 OPPORTUNITY — nobody has it","⭐ ADVANTAGE — only some have it")))</f>
        <v/>
      </c>
      <c r="F10" s="25" t="n"/>
    </row>
    <row r="11">
      <c r="A11" s="22" t="inlineStr">
        <is>
          <t>FAQ rich/direct answers</t>
        </is>
      </c>
      <c r="B11" s="23">
        <f>SUMPRODUCT(--(LEFT('Extraction_Matrix'!$D$39:$K$39,1)="Y"))</f>
        <v/>
      </c>
      <c r="C11" s="23">
        <f>COUNTA('Extraction_Matrix'!$D$6:$K$6)</f>
        <v/>
      </c>
      <c r="D11" s="24">
        <f>IF(C11=0,"",B11/C11)</f>
        <v/>
      </c>
      <c r="E11" s="25">
        <f>IF(C11=0,"",IF(B11=C11,"✅ MANDATORY — everyone has it",IF(B11=0,"🚀 OPPORTUNITY — nobody has it","⭐ ADVANTAGE — only some have it")))</f>
        <v/>
      </c>
      <c r="F11" s="25" t="n"/>
    </row>
    <row r="12">
      <c r="A12" s="22" t="inlineStr">
        <is>
          <t>Conversational writing</t>
        </is>
      </c>
      <c r="B12" s="23">
        <f>SUMPRODUCT(--(LEFT('Extraction_Matrix'!$D$40:$K$40,1)="Y"))</f>
        <v/>
      </c>
      <c r="C12" s="23">
        <f>COUNTA('Extraction_Matrix'!$D$6:$K$6)</f>
        <v/>
      </c>
      <c r="D12" s="24">
        <f>IF(C12=0,"",B12/C12)</f>
        <v/>
      </c>
      <c r="E12" s="25">
        <f>IF(C12=0,"",IF(B12=C12,"✅ MANDATORY — everyone has it",IF(B12=0,"🚀 OPPORTUNITY — nobody has it","⭐ ADVANTAGE — only some have it")))</f>
        <v/>
      </c>
      <c r="F12" s="25" t="n"/>
    </row>
    <row r="13">
      <c r="A13" s="22" t="inlineStr">
        <is>
          <t>Definitions</t>
        </is>
      </c>
      <c r="B13" s="23">
        <f>SUMPRODUCT(--(LEFT('Extraction_Matrix'!$D$41:$K$41,1)="Y"))</f>
        <v/>
      </c>
      <c r="C13" s="23">
        <f>COUNTA('Extraction_Matrix'!$D$6:$K$6)</f>
        <v/>
      </c>
      <c r="D13" s="24">
        <f>IF(C13=0,"",B13/C13)</f>
        <v/>
      </c>
      <c r="E13" s="25">
        <f>IF(C13=0,"",IF(B13=C13,"✅ MANDATORY — everyone has it",IF(B13=0,"🚀 OPPORTUNITY — nobody has it","⭐ ADVANTAGE — only some have it")))</f>
        <v/>
      </c>
      <c r="F13" s="25" t="n"/>
    </row>
    <row r="14">
      <c r="A14" s="22" t="inlineStr">
        <is>
          <t>Statistics / data cited</t>
        </is>
      </c>
      <c r="B14" s="23">
        <f>SUMPRODUCT(--(LEFT('Extraction_Matrix'!$D$42:$K$42,1)="Y"))</f>
        <v/>
      </c>
      <c r="C14" s="23">
        <f>COUNTA('Extraction_Matrix'!$D$6:$K$6)</f>
        <v/>
      </c>
      <c r="D14" s="24">
        <f>IF(C14=0,"",B14/C14)</f>
        <v/>
      </c>
      <c r="E14" s="25">
        <f>IF(C14=0,"",IF(B14=C14,"✅ MANDATORY — everyone has it",IF(B14=0,"🚀 OPPORTUNITY — nobody has it","⭐ ADVANTAGE — only some have it")))</f>
        <v/>
      </c>
      <c r="F14" s="25" t="n"/>
    </row>
    <row r="15">
      <c r="A15" s="22" t="inlineStr">
        <is>
          <t>Author entity</t>
        </is>
      </c>
      <c r="B15" s="23">
        <f>SUMPRODUCT(--(LEFT('Extraction_Matrix'!$D$43:$K$43,1)="Y"))</f>
        <v/>
      </c>
      <c r="C15" s="23">
        <f>COUNTA('Extraction_Matrix'!$D$6:$K$6)</f>
        <v/>
      </c>
      <c r="D15" s="24">
        <f>IF(C15=0,"",B15/C15)</f>
        <v/>
      </c>
      <c r="E15" s="25">
        <f>IF(C15=0,"",IF(B15=C15,"✅ MANDATORY — everyone has it",IF(B15=0,"🚀 OPPORTUNITY — nobody has it","⭐ ADVANTAGE — only some have it")))</f>
        <v/>
      </c>
      <c r="F15" s="25" t="n"/>
    </row>
    <row r="16">
      <c r="A16" s="22" t="inlineStr">
        <is>
          <t>Citations / sources</t>
        </is>
      </c>
      <c r="B16" s="23">
        <f>SUMPRODUCT(--(LEFT('Extraction_Matrix'!$D$44:$K$44,1)="Y"))</f>
        <v/>
      </c>
      <c r="C16" s="23">
        <f>COUNTA('Extraction_Matrix'!$D$6:$K$6)</f>
        <v/>
      </c>
      <c r="D16" s="24">
        <f>IF(C16=0,"",B16/C16)</f>
        <v/>
      </c>
      <c r="E16" s="25">
        <f>IF(C16=0,"",IF(B16=C16,"✅ MANDATORY — everyone has it",IF(B16=0,"🚀 OPPORTUNITY — nobody has it","⭐ ADVANTAGE — only some have it")))</f>
        <v/>
      </c>
      <c r="F16" s="25" t="n"/>
    </row>
    <row r="17">
      <c r="A17" s="22" t="inlineStr">
        <is>
          <t>Structured data (schema)</t>
        </is>
      </c>
      <c r="B17" s="23">
        <f>SUMPRODUCT(--(LEFT('Extraction_Matrix'!$D$46:$K$46,1)="Y"))</f>
        <v/>
      </c>
      <c r="C17" s="23">
        <f>COUNTA('Extraction_Matrix'!$D$6:$K$6)</f>
        <v/>
      </c>
      <c r="D17" s="24">
        <f>IF(C17=0,"",B17/C17)</f>
        <v/>
      </c>
      <c r="E17" s="25">
        <f>IF(C17=0,"",IF(B17=C17,"✅ MANDATORY — everyone has it",IF(B17=0,"🚀 OPPORTUNITY — nobody has it","⭐ ADVANTAGE — only some have it")))</f>
        <v/>
      </c>
      <c r="F17" s="25" t="n"/>
    </row>
    <row r="18">
      <c r="A18" s="22" t="inlineStr">
        <is>
          <t>Topical authority</t>
        </is>
      </c>
      <c r="B18" s="23">
        <f>SUMPRODUCT(--(LEFT('Extraction_Matrix'!$D$47:$K$47,1)="Y"))</f>
        <v/>
      </c>
      <c r="C18" s="23">
        <f>COUNTA('Extraction_Matrix'!$D$6:$K$6)</f>
        <v/>
      </c>
      <c r="D18" s="24">
        <f>IF(C18=0,"",B18/C18)</f>
        <v/>
      </c>
      <c r="E18" s="25">
        <f>IF(C18=0,"",IF(B18=C18,"✅ MANDATORY — everyone has it",IF(B18=0,"🚀 OPPORTUNITY — nobody has it","⭐ ADVANTAGE — only some have it")))</f>
        <v/>
      </c>
      <c r="F18" s="25" t="n"/>
    </row>
    <row r="19">
      <c r="A19" s="22" t="inlineStr">
        <is>
          <t>Reddit mentions</t>
        </is>
      </c>
      <c r="B19" s="23">
        <f>SUMPRODUCT(--(LEFT('Extraction_Matrix'!$D$49:$K$49,1)="Y"))</f>
        <v/>
      </c>
      <c r="C19" s="23">
        <f>COUNTA('Extraction_Matrix'!$D$6:$K$6)</f>
        <v/>
      </c>
      <c r="D19" s="24">
        <f>IF(C19=0,"",B19/C19)</f>
        <v/>
      </c>
      <c r="E19" s="25">
        <f>IF(C19=0,"",IF(B19=C19,"✅ MANDATORY — everyone has it",IF(B19=0,"🚀 OPPORTUNITY — nobody has it","⭐ ADVANTAGE — only some have it")))</f>
        <v/>
      </c>
      <c r="F19" s="25" t="n"/>
    </row>
    <row r="20">
      <c r="A20" s="22" t="inlineStr">
        <is>
          <t>YouTube presence</t>
        </is>
      </c>
      <c r="B20" s="23">
        <f>SUMPRODUCT(--(LEFT('Extraction_Matrix'!$D$50:$K$50,1)="Y"))</f>
        <v/>
      </c>
      <c r="C20" s="23">
        <f>COUNTA('Extraction_Matrix'!$D$6:$K$6)</f>
        <v/>
      </c>
      <c r="D20" s="24">
        <f>IF(C20=0,"",B20/C20)</f>
        <v/>
      </c>
      <c r="E20" s="25">
        <f>IF(C20=0,"",IF(B20=C20,"✅ MANDATORY — everyone has it",IF(B20=0,"🚀 OPPORTUNITY — nobody has it","⭐ ADVANTAGE — only some have it")))</f>
        <v/>
      </c>
      <c r="F20" s="25" t="n"/>
    </row>
    <row r="21">
      <c r="A21" s="22" t="inlineStr">
        <is>
          <t>GBP reviews (local)</t>
        </is>
      </c>
      <c r="B21" s="23">
        <f>SUMPRODUCT(--(LEFT('Extraction_Matrix'!$D$52:$K$52,1)="Y"))</f>
        <v/>
      </c>
      <c r="C21" s="23">
        <f>COUNTA('Extraction_Matrix'!$D$6:$K$6)</f>
        <v/>
      </c>
      <c r="D21" s="24">
        <f>IF(C21=0,"",B21/C21)</f>
        <v/>
      </c>
      <c r="E21" s="25">
        <f>IF(C21=0,"",IF(B21=C21,"✅ MANDATORY — everyone has it",IF(B21=0,"🚀 OPPORTUNITY — nobody has it","⭐ ADVANTAGE — only some have it")))</f>
        <v/>
      </c>
      <c r="F21" s="25" t="n"/>
    </row>
    <row r="23" ht="20" customHeight="1">
      <c r="A23" s="20" t="inlineStr">
        <is>
          <t>PART 2 · NUMERIC BENCHMARKS  (beat the field)</t>
        </is>
      </c>
    </row>
    <row r="24">
      <c r="A24" s="26" t="inlineStr">
        <is>
          <t>Metric</t>
        </is>
      </c>
      <c r="B24" s="26" t="inlineStr">
        <is>
          <t>Min</t>
        </is>
      </c>
      <c r="C24" s="26" t="inlineStr">
        <is>
          <t>Avg</t>
        </is>
      </c>
      <c r="D24" s="26" t="inlineStr">
        <is>
          <t>Max</t>
        </is>
      </c>
      <c r="E24" s="26" t="inlineStr">
        <is>
          <t>Your target</t>
        </is>
      </c>
      <c r="F24" s="26" t="inlineStr">
        <is>
          <t>Note</t>
        </is>
      </c>
    </row>
    <row r="25">
      <c r="A25" s="27" t="inlineStr">
        <is>
          <t>Word count</t>
        </is>
      </c>
      <c r="B25" s="28">
        <f>IF(COUNT('Extraction_Matrix'!$D$15:$K$15)=0,"",MIN('Extraction_Matrix'!$D$15:$K$15))</f>
        <v/>
      </c>
      <c r="C25" s="28">
        <f>IF(COUNT('Extraction_Matrix'!$D$15:$K$15)=0,"",ROUND(AVERAGE('Extraction_Matrix'!$D$15:$K$15),0))</f>
        <v/>
      </c>
      <c r="D25" s="28">
        <f>IF(COUNT('Extraction_Matrix'!$D$15:$K$15)=0,"",MAX('Extraction_Matrix'!$D$15:$K$15))</f>
        <v/>
      </c>
      <c r="E25" s="29" t="n"/>
      <c r="F25" s="30" t="inlineStr">
        <is>
          <t>aim ≥ Max</t>
        </is>
      </c>
    </row>
    <row r="26">
      <c r="A26" s="27" t="inlineStr">
        <is>
          <t>Unique images</t>
        </is>
      </c>
      <c r="B26" s="28">
        <f>IF(COUNT('Extraction_Matrix'!$D$28:$K$28)=0,"",MIN('Extraction_Matrix'!$D$28:$K$28))</f>
        <v/>
      </c>
      <c r="C26" s="28">
        <f>IF(COUNT('Extraction_Matrix'!$D$28:$K$28)=0,"",ROUND(AVERAGE('Extraction_Matrix'!$D$28:$K$28),0))</f>
        <v/>
      </c>
      <c r="D26" s="28">
        <f>IF(COUNT('Extraction_Matrix'!$D$28:$K$28)=0,"",MAX('Extraction_Matrix'!$D$28:$K$28))</f>
        <v/>
      </c>
      <c r="E26" s="29" t="n"/>
      <c r="F26" s="30" t="inlineStr">
        <is>
          <t>≥ Avg</t>
        </is>
      </c>
    </row>
    <row r="27">
      <c r="A27" s="27" t="inlineStr">
        <is>
          <t>FAQ count</t>
        </is>
      </c>
      <c r="B27" s="28">
        <f>IF(COUNT('Extraction_Matrix'!$D$33:$K$33)=0,"",MIN('Extraction_Matrix'!$D$33:$K$33))</f>
        <v/>
      </c>
      <c r="C27" s="28">
        <f>IF(COUNT('Extraction_Matrix'!$D$33:$K$33)=0,"",ROUND(AVERAGE('Extraction_Matrix'!$D$33:$K$33),0))</f>
        <v/>
      </c>
      <c r="D27" s="28">
        <f>IF(COUNT('Extraction_Matrix'!$D$33:$K$33)=0,"",MAX('Extraction_Matrix'!$D$33:$K$33))</f>
        <v/>
      </c>
      <c r="E27" s="29" t="n"/>
      <c r="F27" s="30" t="inlineStr">
        <is>
          <t>≥ Max</t>
        </is>
      </c>
    </row>
    <row r="28">
      <c r="A28" s="27" t="inlineStr">
        <is>
          <t>Internal links</t>
        </is>
      </c>
      <c r="B28" s="28">
        <f>IF(COUNT('Extraction_Matrix'!$D$35:$K$35)=0,"",MIN('Extraction_Matrix'!$D$35:$K$35))</f>
        <v/>
      </c>
      <c r="C28" s="28">
        <f>IF(COUNT('Extraction_Matrix'!$D$35:$K$35)=0,"",ROUND(AVERAGE('Extraction_Matrix'!$D$35:$K$35),0))</f>
        <v/>
      </c>
      <c r="D28" s="28">
        <f>IF(COUNT('Extraction_Matrix'!$D$35:$K$35)=0,"",MAX('Extraction_Matrix'!$D$35:$K$35))</f>
        <v/>
      </c>
      <c r="E28" s="29" t="n"/>
      <c r="F28" s="30" t="inlineStr">
        <is>
          <t>≥ Avg</t>
        </is>
      </c>
    </row>
    <row r="29">
      <c r="A29" s="27" t="inlineStr">
        <is>
          <t>External links</t>
        </is>
      </c>
      <c r="B29" s="28">
        <f>IF(COUNT('Extraction_Matrix'!$D$37:$K$37)=0,"",MIN('Extraction_Matrix'!$D$37:$K$37))</f>
        <v/>
      </c>
      <c r="C29" s="28">
        <f>IF(COUNT('Extraction_Matrix'!$D$37:$K$37)=0,"",ROUND(AVERAGE('Extraction_Matrix'!$D$37:$K$37),0))</f>
        <v/>
      </c>
      <c r="D29" s="28">
        <f>IF(COUNT('Extraction_Matrix'!$D$37:$K$37)=0,"",MAX('Extraction_Matrix'!$D$37:$K$37))</f>
        <v/>
      </c>
      <c r="E29" s="29" t="n"/>
      <c r="F29" s="30" t="inlineStr">
        <is>
          <t>2–5 authoritative</t>
        </is>
      </c>
    </row>
    <row r="31" ht="20" customHeight="1">
      <c r="A31" s="20" t="inlineStr">
        <is>
          <t>PART 3 · THE THREE BUCKETS  (curated summary)</t>
        </is>
      </c>
    </row>
    <row r="32">
      <c r="A32" s="31" t="inlineStr">
        <is>
          <t>✅ MANDATORY (match these)</t>
        </is>
      </c>
      <c r="C32" s="32" t="inlineStr">
        <is>
          <t>⭐ ADVANTAGE (adopt to compete)</t>
        </is>
      </c>
      <c r="E32" s="33" t="inlineStr">
        <is>
          <t>🚀 OPPORTUNITY (your edge)</t>
        </is>
      </c>
    </row>
    <row r="33">
      <c r="A33" s="8" t="inlineStr">
        <is>
          <t>↑ pull from Verdict column above</t>
        </is>
      </c>
    </row>
  </sheetData>
  <mergeCells count="3">
    <mergeCell ref="A31:F31"/>
    <mergeCell ref="A5:F5"/>
    <mergeCell ref="A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showGridLines="0" workbookViewId="0">
      <selection activeCell="A1" sqref="A1"/>
    </sheetView>
  </sheetViews>
  <sheetFormatPr baseColWidth="8" defaultRowHeight="15"/>
  <cols>
    <col width="3" customWidth="1" min="1" max="1"/>
    <col width="30" customWidth="1" min="2" max="2"/>
    <col width="70" customWidth="1" min="3" max="3"/>
    <col width="12" customWidth="1" min="4" max="4"/>
  </cols>
  <sheetData>
    <row r="1">
      <c r="B1" s="7" t="inlineStr">
        <is>
          <t>PAGE BUILD BRIEF</t>
        </is>
      </c>
    </row>
    <row r="2">
      <c r="B2" s="8" t="inlineStr">
        <is>
          <t>The spec for the page Claude will build. Targets pull from Gap_Analysis where possible.</t>
        </is>
      </c>
    </row>
    <row r="4" ht="20" customHeight="1">
      <c r="A4" s="17" t="inlineStr">
        <is>
          <t>PAGE COMPOSITION  (what this page IS)</t>
        </is>
      </c>
    </row>
    <row r="5" ht="30" customHeight="1">
      <c r="B5" s="34" t="inlineStr">
        <is>
          <t>This page = the SUPERSET. It must (a) cover everything relevant that ANY competitor covers — the union of all their subtopics, angles and questions — AND (b) add the OPPORTUNITY gaps none of them have.</t>
        </is>
      </c>
      <c r="C5" s="47" t="n"/>
      <c r="D5" s="48" t="n"/>
    </row>
    <row r="6" ht="30" customHeight="1">
      <c r="B6" s="36" t="inlineStr">
        <is>
          <t>Union of coverage: list every distinct H2 / subtopic across all links, dedupe, drop the irrelevant, keep the rest. Each one gets covered — rewritten in our own words and improved, never copied or lightly paraphrased.</t>
        </is>
      </c>
      <c r="C6" s="47" t="n"/>
      <c r="D6" s="48" t="n"/>
    </row>
    <row r="7" ht="30" customHeight="1">
      <c r="B7" s="37" t="inlineStr">
        <is>
          <t>Then add the gaps: pull the 🚀 OPPORTUNITY items from Gap_Analysis (and anything obviously missing) so the page answers questions the SERP currently doesn't. That delta is why it out-ranks them.</t>
        </is>
      </c>
      <c r="C7" s="47" t="n"/>
      <c r="D7" s="48" t="n"/>
    </row>
    <row r="8" ht="20" customHeight="1">
      <c r="A8" s="17" t="inlineStr">
        <is>
          <t>TARGETING</t>
        </is>
      </c>
    </row>
    <row r="9">
      <c r="B9" s="38" t="inlineStr">
        <is>
          <t>Target keyword</t>
        </is>
      </c>
      <c r="C9" s="39" t="inlineStr">
        <is>
          <t>taxi service in Haridwar</t>
        </is>
      </c>
      <c r="D9" s="35" t="n"/>
    </row>
    <row r="10">
      <c r="B10" s="38" t="inlineStr">
        <is>
          <t>Secondary keywords</t>
        </is>
      </c>
      <c r="C10" s="39" t="inlineStr">
        <is>
          <t>haridwar taxi booking, car rental haridwar, haridwar cab rates, tempo traveller haridwar, haridwar local sightseeing taxi</t>
        </is>
      </c>
      <c r="D10" s="35" t="n"/>
    </row>
    <row r="11">
      <c r="B11" s="38" t="inlineStr">
        <is>
          <t>Location</t>
        </is>
      </c>
      <c r="C11" s="39" t="inlineStr">
        <is>
          <t>Haridwar, Uttarakhand (Bhupatwala / Har Ki Pauri / Kankhal)</t>
        </is>
      </c>
      <c r="D11" s="35" t="n"/>
    </row>
    <row r="12">
      <c r="B12" s="38" t="inlineStr">
        <is>
          <t>Search intent</t>
        </is>
      </c>
      <c r="C12" s="39" t="inlineStr">
        <is>
          <t>Transactional — user wants a rate and a phone number, now</t>
        </is>
      </c>
      <c r="D12" s="35" t="n"/>
    </row>
    <row r="13">
      <c r="B13" s="38" t="inlineStr">
        <is>
          <t>Content type</t>
        </is>
      </c>
      <c r="C13" s="39" t="inlineStr">
        <is>
          <t>Local service page</t>
        </is>
      </c>
      <c r="D13" s="35" t="n"/>
    </row>
    <row r="14" ht="20" customHeight="1">
      <c r="A14" s="17" t="inlineStr">
        <is>
          <t>FORMAT &amp; STRUCTURE</t>
        </is>
      </c>
    </row>
    <row r="15">
      <c r="B15" s="38" t="inlineStr">
        <is>
          <t>Content format mix</t>
        </is>
      </c>
      <c r="C15" s="39" t="inlineStr">
        <is>
          <t>Text + rate tables + FAQ + internal route links (no video needed; nobody in the SERP has one)</t>
        </is>
      </c>
      <c r="D15" s="40" t="inlineStr">
        <is>
          <t>text/para/list/video/audio/img</t>
        </is>
      </c>
    </row>
    <row r="16">
      <c r="B16" s="38" t="inlineStr">
        <is>
          <t>Page structure</t>
        </is>
      </c>
      <c r="C16" s="39" t="inlineStr">
        <is>
          <t>Table-led service page with a claim-first opening answer</t>
        </is>
      </c>
      <c r="D16" s="40" t="inlineStr">
        <is>
          <t>listicle/steps/Q&amp;A/narrative/pillar</t>
        </is>
      </c>
    </row>
    <row r="17" ht="20" customHeight="1">
      <c r="A17" s="17" t="inlineStr">
        <is>
          <t>ON-PAGE (write these)</t>
        </is>
      </c>
    </row>
    <row r="18">
      <c r="B18" s="38" t="inlineStr">
        <is>
          <t>Title (≤60 chars)</t>
        </is>
      </c>
      <c r="C18" s="39" t="inlineStr">
        <is>
          <t>Taxi Service in Haridwar — Rates from Rs 1,600 | Direct Operator</t>
        </is>
      </c>
      <c r="D18" s="40">
        <f>IF(C18="","",LEN(C18))</f>
        <v/>
      </c>
    </row>
    <row r="19">
      <c r="B19" s="38" t="inlineStr">
        <is>
          <t>Meta description (≤155)</t>
        </is>
      </c>
      <c r="C19" s="39" t="inlineStr">
        <is>
          <t>Book a taxi in Haridwar direct from a local operator since 2010. Fixed 8hr/80km rates, no commission, no surge. Call +91-78179 96730.</t>
        </is>
      </c>
      <c r="D19" s="40">
        <f>IF(C19="","",LEN(C19))</f>
        <v/>
      </c>
    </row>
    <row r="20">
      <c r="B20" s="38" t="inlineStr">
        <is>
          <t>H1</t>
        </is>
      </c>
      <c r="C20" s="39" t="inlineStr">
        <is>
          <t>Taxi Service in Haridwar — Local Rates, Real Vehicles, No Commission</t>
        </is>
      </c>
      <c r="D20" s="35" t="n"/>
    </row>
    <row r="21">
      <c r="B21" s="38" t="inlineStr">
        <is>
          <t>URL slug</t>
        </is>
      </c>
      <c r="C21" s="39" t="inlineStr">
        <is>
          <t>/taxi-service-in-haridwar</t>
        </is>
      </c>
      <c r="D21" s="35" t="n"/>
    </row>
    <row r="22" ht="20" customHeight="1">
      <c r="A22" s="17" t="inlineStr">
        <is>
          <t>H2 OUTLINE</t>
        </is>
      </c>
    </row>
    <row r="23">
      <c r="B23" s="38" t="inlineStr">
        <is>
          <t>H2 #1</t>
        </is>
      </c>
      <c r="C23" s="39" t="inlineStr">
        <is>
          <t>What a taxi actually costs in Haridwar (rate table, 8hr/80km + per-km)</t>
        </is>
      </c>
      <c r="D23" s="35" t="n"/>
    </row>
    <row r="24">
      <c r="B24" s="38" t="inlineStr">
        <is>
          <t>H2 #2</t>
        </is>
      </c>
      <c r="C24" s="39" t="inlineStr">
        <is>
          <t>Local sightseeing circuits and what they cover</t>
        </is>
      </c>
      <c r="D24" s="35" t="n"/>
    </row>
    <row r="25">
      <c r="B25" s="38" t="inlineStr">
        <is>
          <t>H2 #3</t>
        </is>
      </c>
      <c r="C25" s="39" t="inlineStr">
        <is>
          <t>Airport, railway station and outstation transfers</t>
        </is>
      </c>
      <c r="D25" s="35" t="n"/>
    </row>
    <row r="26">
      <c r="B26" s="38" t="inlineStr">
        <is>
          <t>H2 #4</t>
        </is>
      </c>
      <c r="C26" s="39" t="inlineStr">
        <is>
          <t>Our fleet — what you actually get</t>
        </is>
      </c>
      <c r="D26" s="35" t="n"/>
    </row>
    <row r="27">
      <c r="B27" s="38" t="inlineStr">
        <is>
          <t>H2 #5</t>
        </is>
      </c>
      <c r="C27" s="39" t="inlineStr">
        <is>
          <t>How Haridwar taxi pricing works (hill charges, night charge, driver allowance, parking)</t>
        </is>
      </c>
      <c r="D27" s="35" t="n"/>
    </row>
    <row r="28">
      <c r="B28" s="38" t="inlineStr">
        <is>
          <t>H2 #6</t>
        </is>
      </c>
      <c r="C28" s="39" t="inlineStr">
        <is>
          <t>Booking, payment and cancellation</t>
        </is>
      </c>
      <c r="D28" s="35" t="n"/>
    </row>
    <row r="29">
      <c r="B29" s="38" t="inlineStr">
        <is>
          <t>H2 #7</t>
        </is>
      </c>
      <c r="C29" s="39" t="inlineStr">
        <is>
          <t>How to avoid the common Haridwar taxi scams</t>
        </is>
      </c>
      <c r="D29" s="35" t="n"/>
    </row>
    <row r="30">
      <c r="B30" s="38" t="inlineStr">
        <is>
          <t>H2 #8</t>
        </is>
      </c>
      <c r="C30" s="39" t="inlineStr">
        <is>
          <t>FAQ</t>
        </is>
      </c>
      <c r="D30" s="35" t="n"/>
    </row>
    <row r="31" ht="20" customHeight="1">
      <c r="A31" s="17" t="inlineStr">
        <is>
          <t>TARGETS (from benchmarks)</t>
        </is>
      </c>
    </row>
    <row r="32">
      <c r="B32" s="38" t="inlineStr">
        <is>
          <t>Word-count target</t>
        </is>
      </c>
      <c r="C32" s="39" t="inlineStr">
        <is>
          <t>1,900-2,400 words (field: 1,900-3,750, avg ~2,540). Beat on usefulness, not length</t>
        </is>
      </c>
      <c r="D32" s="35" t="n"/>
    </row>
    <row r="33">
      <c r="B33" s="38" t="inlineStr">
        <is>
          <t>Internal links (count)</t>
        </is>
      </c>
      <c r="C33" s="39" t="inlineStr">
        <is>
          <t>10-14 internal links</t>
        </is>
      </c>
      <c r="D33" s="35" t="n"/>
    </row>
    <row r="34">
      <c r="B34" s="38" t="inlineStr">
        <is>
          <t>Internal linking plan</t>
        </is>
      </c>
      <c r="C34" s="39" t="inlineStr">
        <is>
          <t>Link to /cabs hub, the four dham cab routes, /haridwar-tour-packages, /char-dham-yatra, the new Har Ki Pauri + airport + Rishikesh pages</t>
        </is>
      </c>
      <c r="D34" s="40" t="inlineStr">
        <is>
          <t>hub-spoke / anchors / which pages</t>
        </is>
      </c>
    </row>
    <row r="35">
      <c r="B35" s="38" t="inlineStr">
        <is>
          <t>External links (authoritative)</t>
        </is>
      </c>
      <c r="C35" s="39" t="inlineStr">
        <is>
          <t>3-5: Uttarakhand Transport Dept, IRCTC/Indian Railways, Ganga Sabha, Uttarakhand Tourism</t>
        </is>
      </c>
      <c r="D35" s="35" t="n"/>
    </row>
    <row r="36">
      <c r="B36" s="38" t="inlineStr">
        <is>
          <t>Images / video / maps / tables</t>
        </is>
      </c>
      <c r="C36" s="39" t="inlineStr">
        <is>
          <t>Rate tables (mandatory — 2 of 4 have them), 6+ images, no video needed, embedded map optional</t>
        </is>
      </c>
      <c r="D36" s="35" t="n"/>
    </row>
    <row r="37" ht="20" customHeight="1">
      <c r="A37" s="17" t="inlineStr">
        <is>
          <t>REQUIRED FEATURES</t>
        </is>
      </c>
    </row>
    <row r="38">
      <c r="B38" s="38" t="inlineStr">
        <is>
          <t>✅ Mandatory (must build)</t>
        </is>
      </c>
      <c r="C38" s="39" t="inlineStr">
        <is>
          <t>Rate table, vehicle-type breakdown, testimonials/social proof, prominent phone + WhatsApp CTA</t>
        </is>
      </c>
      <c r="D38" s="35" t="n"/>
    </row>
    <row r="39">
      <c r="B39" s="38" t="inlineStr">
        <is>
          <t>⭐ Advantage (adopt)</t>
        </is>
      </c>
      <c r="C39" s="39" t="inlineStr">
        <is>
          <t>FAQ with direct answers (only 2 of 4 have any FAQ), Char Dham cross-sell, government-approval/trust badge</t>
        </is>
      </c>
      <c r="D39" s="35" t="n"/>
    </row>
    <row r="40">
      <c r="B40" s="38" t="inlineStr">
        <is>
          <t>🚀 Opportunity (differentiate)</t>
        </is>
      </c>
      <c r="C40" s="39" t="inlineStr">
        <is>
          <t>JSON-LD schema of ANY kind (0 of 4 have it) | Named author with a real bio (0 of 4) | Cited primary sources (0 of 4) | Definitions of the pricing terms (0 of 4) | Conversational, non-boilerplate writing (0 of 4) | Scam-avoidance section (0 of 4) | Transparent per-km + extra-charge maths (0 of 4)</t>
        </is>
      </c>
      <c r="D40" s="35" t="n"/>
    </row>
    <row r="41" ht="20" customHeight="1">
      <c r="A41" s="17" t="inlineStr">
        <is>
          <t>FAQ QUESTIONS TO ANSWER</t>
        </is>
      </c>
    </row>
    <row r="42">
      <c r="B42" s="38" t="inlineStr">
        <is>
          <t>Q1</t>
        </is>
      </c>
      <c r="C42" s="39" t="inlineStr">
        <is>
          <t>How much does a taxi cost in Haridwar for a day?</t>
        </is>
      </c>
      <c r="D42" s="35" t="n"/>
    </row>
    <row r="43">
      <c r="B43" s="38" t="inlineStr">
        <is>
          <t>Q2</t>
        </is>
      </c>
      <c r="C43" s="39" t="inlineStr">
        <is>
          <t>What is the taxi fare from Haridwar to Rishikesh?</t>
        </is>
      </c>
      <c r="D43" s="35" t="n"/>
    </row>
    <row r="44">
      <c r="B44" s="38" t="inlineStr">
        <is>
          <t>Q3</t>
        </is>
      </c>
      <c r="C44" s="39" t="inlineStr">
        <is>
          <t>Is there a prepaid taxi counter at Haridwar railway station?</t>
        </is>
      </c>
      <c r="D44" s="35" t="n"/>
    </row>
    <row r="45">
      <c r="B45" s="38" t="inlineStr">
        <is>
          <t>Q4</t>
        </is>
      </c>
      <c r="C45" s="39" t="inlineStr">
        <is>
          <t>What does 8 hours / 80 km actually mean on a Haridwar taxi bill?</t>
        </is>
      </c>
      <c r="D45" s="35" t="n"/>
    </row>
    <row r="46">
      <c r="B46" s="38" t="inlineStr">
        <is>
          <t>Q5</t>
        </is>
      </c>
      <c r="C46" s="39" t="inlineStr">
        <is>
          <t>Do Haridwar taxis charge extra for AC in the hills?</t>
        </is>
      </c>
      <c r="D46" s="35" t="n"/>
    </row>
    <row r="47">
      <c r="B47" s="38" t="inlineStr">
        <is>
          <t>Q6</t>
        </is>
      </c>
      <c r="C47" s="39" t="inlineStr">
        <is>
          <t>Can I book a Haridwar taxi for Char Dham Yatra one way?</t>
        </is>
      </c>
      <c r="D47" s="35" t="n"/>
    </row>
    <row r="48" ht="20" customHeight="1">
      <c r="A48" s="17" t="inlineStr">
        <is>
          <t>TECHNICAL</t>
        </is>
      </c>
    </row>
    <row r="49">
      <c r="B49" s="38" t="inlineStr">
        <is>
          <t>Schema to implement</t>
        </is>
      </c>
      <c r="C49" s="39" t="inlineStr">
        <is>
          <t>TravelAgency/LocalBusiness + Service + FAQPage + BreadcrumbList (+ Offer with real prices)</t>
        </is>
      </c>
      <c r="D49" s="40" t="inlineStr">
        <is>
          <t>JSON-LD; FAQ = GEO signal</t>
        </is>
      </c>
    </row>
    <row r="50">
      <c r="B50" s="38" t="inlineStr">
        <is>
          <t>Author / E-E-A-T</t>
        </is>
      </c>
      <c r="C50" s="39" t="inlineStr">
        <is>
          <t>Named author: Sumit Mishra, Shiv Ganga Travels, Haridwar — operator since 2010</t>
        </is>
      </c>
      <c r="D50" s="35" t="n"/>
    </row>
  </sheetData>
  <mergeCells count="12">
    <mergeCell ref="A17:D17"/>
    <mergeCell ref="A37:D37"/>
    <mergeCell ref="B5:D5"/>
    <mergeCell ref="A31:D31"/>
    <mergeCell ref="A8:D8"/>
    <mergeCell ref="A22:D22"/>
    <mergeCell ref="A4:D4"/>
    <mergeCell ref="A48:D48"/>
    <mergeCell ref="A41:D41"/>
    <mergeCell ref="B7:D7"/>
    <mergeCell ref="B6:D6"/>
    <mergeCell ref="A14:D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showGridLines="0" workbookViewId="0">
      <selection activeCell="A1" sqref="A1"/>
    </sheetView>
  </sheetViews>
  <sheetFormatPr baseColWidth="8" defaultRowHeight="15"/>
  <cols>
    <col width="3" customWidth="1" min="1" max="1"/>
    <col width="26" customWidth="1" min="2" max="2"/>
    <col width="78" customWidth="1" min="3" max="3"/>
    <col width="10" customWidth="1" min="4" max="4"/>
  </cols>
  <sheetData>
    <row r="1">
      <c r="B1" s="7" t="inlineStr">
        <is>
          <t>WRITING RULES  —  how the page gets written</t>
        </is>
      </c>
    </row>
    <row r="2">
      <c r="B2" s="8" t="inlineStr">
        <is>
          <t>The 7 standards every page must pass before it ships. The brief says WHAT to build; this says HOW to write it.</t>
        </is>
      </c>
    </row>
    <row r="4" ht="20" customHeight="1">
      <c r="A4" s="41" t="inlineStr">
        <is>
          <t>VOICE  —  NON-NEGOTIABLE  (applies to every line on the page)</t>
        </is>
      </c>
    </row>
    <row r="5">
      <c r="B5" s="42" t="inlineStr">
        <is>
          <t>Personal tone</t>
        </is>
      </c>
      <c r="C5" s="39" t="inlineStr">
        <is>
          <t>Write like one knowledgeable person talking to another. Use 'you', and 'I/we' where it fits. Direct address, contractions, the odd aside. Never the detached encyclopedia voice.</t>
        </is>
      </c>
    </row>
    <row r="6">
      <c r="B6" s="42" t="inlineStr">
        <is>
          <t>Authority</t>
        </is>
      </c>
      <c r="C6" s="39" t="inlineStr">
        <is>
          <t>Take a position and commit to it. State things plainly — no hedging stacks ('it could potentially possibly'). Back claims with first-hand specifics, real numbers and named sources, not 'experts say'.</t>
        </is>
      </c>
    </row>
    <row r="7">
      <c r="B7" s="42" t="inlineStr">
        <is>
          <t>Style</t>
        </is>
      </c>
      <c r="C7" s="39" t="inlineStr">
        <is>
          <t>Vary the rhythm — short punchy sentences next to longer ones. Let some personality and mild opinion through. Concrete over abstract. A little mess is human; perfect symmetry reads as machine.</t>
        </is>
      </c>
    </row>
    <row r="8">
      <c r="B8" s="42" t="inlineStr">
        <is>
          <t>Humanized words</t>
        </is>
      </c>
      <c r="C8" s="39" t="inlineStr">
        <is>
          <t>Plain English over AI vocab. Ban: delve, tapestry, underscore, leverage, robust, seamless, testament, pivotal, vibrant, landscape (abstract), 'in the realm of', 'it's important to note', 'let's dive in'. Cut filler and signposting.</t>
        </is>
      </c>
    </row>
    <row r="9">
      <c r="B9" s="42" t="inlineStr">
        <is>
          <t>The hard rule</t>
        </is>
      </c>
      <c r="C9" s="39" t="inlineStr">
        <is>
          <t>If a sentence could have come from any generic AI, rewrite it. After drafting, run the humanizer audit ('what still reads as AI?') and fix every tell. It must not sound AI — strictly. No exceptions.</t>
        </is>
      </c>
    </row>
    <row r="11" ht="20" customHeight="1">
      <c r="A11" s="17" t="inlineStr">
        <is>
          <t>1 · SEMANTICS</t>
        </is>
      </c>
    </row>
    <row r="12">
      <c r="B12" s="43" t="inlineStr">
        <is>
          <t>Do this</t>
        </is>
      </c>
      <c r="C12" s="39" t="inlineStr">
        <is>
          <t>Cover the topic as an entity, not just a keyword. Map the related entities, sub-topics and questions a complete page would address (from the H2s across all competitors), then make sure each is genuinely covered. Use semantic HTML — one H1, logical H2/H3 nesting, real lists and tables, descriptive anchor text. Link to your related/cluster pages so the topic reads as a hub.</t>
        </is>
      </c>
    </row>
    <row r="13">
      <c r="B13" s="44" t="inlineStr">
        <is>
          <t>Watch for</t>
        </is>
      </c>
      <c r="C13" s="16" t="inlineStr">
        <is>
          <t>Don't keyword-stuff. Coverage and entity completeness beat repetition. A gap a competitor missed (from Gap_Analysis OPPORTUNITY) is your semantic edge.</t>
        </is>
      </c>
    </row>
    <row r="15" ht="20" customHeight="1">
      <c r="A15" s="17" t="inlineStr">
        <is>
          <t>2 · E-E-A-T</t>
        </is>
      </c>
    </row>
    <row r="16">
      <c r="B16" s="43" t="inlineStr">
        <is>
          <t>Do this</t>
        </is>
      </c>
      <c r="C16" s="39" t="inlineStr">
        <is>
          <t>Experience: include first-hand specifics — real examples, numbers, screenshots, things only someone who did it would know. Expertise: name a real author with a bio. Authoritativeness: cite primary sources (studies, official docs, original data) with links. Trust: accurate facts, last-updated date, clear contact/ownership.</t>
        </is>
      </c>
    </row>
    <row r="17">
      <c r="B17" s="44" t="inlineStr">
        <is>
          <t>Watch for</t>
        </is>
      </c>
      <c r="C17" s="16" t="inlineStr">
        <is>
          <t>Vague authority ('experts say') fails E-E-A-T. Attribute to a named, datable source instead.</t>
        </is>
      </c>
    </row>
    <row r="19" ht="20" customHeight="1">
      <c r="A19" s="17" t="inlineStr">
        <is>
          <t>3 · HUMANIZER  (skill active)</t>
        </is>
      </c>
    </row>
    <row r="20">
      <c r="B20" s="43" t="inlineStr">
        <is>
          <t>Do this</t>
        </is>
      </c>
      <c r="C20" s="39" t="inlineStr">
        <is>
          <t>Run the humanizer pass on the full draft. Strip AI tells: inflated significance ('stands as a testament', 'pivotal moment'), promo language ('nestled', 'vibrant', 'breathtaking'), superficial -ing tails, vague attributions, AI vocab (delve, tapestry, underscore, leverage), em-dash and rule-of-three overuse, filler, hedging, signposting ('let's dive in'), fragmented headers. Then do the final audit: ask 'what still reads as AI?', fix it, and add actual voice — opinions, varied rhythm, specifics.</t>
        </is>
      </c>
    </row>
    <row r="21">
      <c r="B21" s="44" t="inlineStr">
        <is>
          <t>Watch for</t>
        </is>
      </c>
      <c r="C21" s="16" t="inlineStr">
        <is>
          <t>Clean but soulless still fails. Vary sentence length; let a real point of view show.</t>
        </is>
      </c>
    </row>
    <row r="23" ht="20" customHeight="1">
      <c r="A23" s="17" t="inlineStr">
        <is>
          <t>4 · SEO-FOCUSED</t>
        </is>
      </c>
    </row>
    <row r="24">
      <c r="B24" s="43" t="inlineStr">
        <is>
          <t>Do this</t>
        </is>
      </c>
      <c r="C24" s="39" t="inlineStr">
        <is>
          <t>Target keyword in: title (≤60 chars), H1, URL slug, first 100 words, and at least one H2 — naturally, not forced. Compelling meta description ≤155 chars. Internal links with descriptive anchors; 2–5 authoritative external links. Hit or beat the word-count / image / FAQ benchmarks from Gap_Analysis. Descriptive image alt text. One clear intent per page.</t>
        </is>
      </c>
    </row>
    <row r="25">
      <c r="B25" s="44" t="inlineStr">
        <is>
          <t>Watch for</t>
        </is>
      </c>
      <c r="C25" s="16" t="inlineStr">
        <is>
          <t>Match the benchmarks, then beat the field on the MANDATORY + ADVANTAGE features.</t>
        </is>
      </c>
    </row>
    <row r="27" ht="20" customHeight="1">
      <c r="A27" s="17" t="inlineStr">
        <is>
          <t>5 · SUPER LLM-FRIENDLY  (GEO)</t>
        </is>
      </c>
    </row>
    <row r="28">
      <c r="B28" s="43" t="inlineStr">
        <is>
          <t>Do this</t>
        </is>
      </c>
      <c r="C28" s="39" t="inlineStr">
        <is>
          <t>Answer the core question in the first 1–2 sentences, before any wind-up. Write in self-contained, extractable chunks — each section makes sense lifted out of context. Lead sections with the claim, then support it. Include definitions, concrete statistics with sources, and an FAQ with direct answers. Use schema (Article/FAQ/HowTo-equivalent as fits). This is what gets you quoted in AI Overviews, ChatGPT and Perplexity.</t>
        </is>
      </c>
    </row>
    <row r="29">
      <c r="B29" s="44" t="inlineStr">
        <is>
          <t>Watch for</t>
        </is>
      </c>
      <c r="C29" s="16" t="inlineStr">
        <is>
          <t>FAQ schema = a GEO/citation signal (since Aug-2023 it only earns Google rich results for gov/health). Worth it for AI citability, not for Google rich snippets.</t>
        </is>
      </c>
    </row>
    <row r="31" ht="20" customHeight="1">
      <c r="A31" s="17" t="inlineStr">
        <is>
          <t>6 · MOBILE RESPONSIVE</t>
        </is>
      </c>
    </row>
    <row r="32">
      <c r="B32" s="43" t="inlineStr">
        <is>
          <t>Do this</t>
        </is>
      </c>
      <c r="C32" s="39" t="inlineStr">
        <is>
          <t>Short paragraphs (2–4 lines). Front-load the point of each section. Scannable subheads, lists and tables instead of walls of text. Tables must reflow / scroll on small screens. Tap targets and buttons sized for thumbs. No layout that needs horizontal scrolling.</t>
        </is>
      </c>
    </row>
    <row r="33">
      <c r="B33" s="44" t="inlineStr">
        <is>
          <t>Watch for</t>
        </is>
      </c>
      <c r="C33" s="16" t="inlineStr">
        <is>
          <t>Most search traffic is mobile and Google indexes mobile-first. If it's painful on a phone, it underperforms.</t>
        </is>
      </c>
    </row>
    <row r="35" ht="20" customHeight="1">
      <c r="A35" s="17" t="inlineStr">
        <is>
          <t>7 · YOUR &amp; CHATGPT'S GO-TO RESOURCE</t>
        </is>
      </c>
    </row>
    <row r="36">
      <c r="B36" s="43" t="inlineStr">
        <is>
          <t>Do this</t>
        </is>
      </c>
      <c r="C36" s="39" t="inlineStr">
        <is>
          <t>Aim to be THE page an AI cites when asked about this topic. That means: most complete (covers the OPPORTUNITY gaps nobody else filled), most trustworthy (named author + primary sources), most quotable (clean direct-answer passages), and genuinely original (your own data, examples or angle). If the page only recombines what the competitors already say, it won't be the one that gets referenced.</t>
        </is>
      </c>
    </row>
    <row r="37">
      <c r="B37" s="44" t="inlineStr">
        <is>
          <t>Watch for</t>
        </is>
      </c>
      <c r="C37" s="16" t="inlineStr">
        <is>
          <t>The 3-tier output is the playbook: match MANDATORY, adopt ADVANTAGE, own the OPPORTUNITY.</t>
        </is>
      </c>
    </row>
    <row r="39" ht="20" customHeight="1">
      <c r="A39" s="20" t="inlineStr">
        <is>
          <t>PRE-PUBLISH CHECKLIST  (tick before shipping)</t>
        </is>
      </c>
    </row>
    <row r="40">
      <c r="B40" s="45" t="inlineStr">
        <is>
          <t>☐</t>
        </is>
      </c>
      <c r="C40" s="46" t="inlineStr">
        <is>
          <t>Core question answered in first 2 sentences</t>
        </is>
      </c>
    </row>
    <row r="41">
      <c r="B41" s="45" t="inlineStr">
        <is>
          <t>☐</t>
        </is>
      </c>
      <c r="C41" s="46" t="inlineStr">
        <is>
          <t>Keyword in title, H1, slug, first 100 words, ≥1 H2</t>
        </is>
      </c>
    </row>
    <row r="42">
      <c r="B42" s="45" t="inlineStr">
        <is>
          <t>☐</t>
        </is>
      </c>
      <c r="C42" s="46" t="inlineStr">
        <is>
          <t>Meta ≤155 chars · Title ≤60 chars</t>
        </is>
      </c>
    </row>
    <row r="43">
      <c r="B43" s="45" t="inlineStr">
        <is>
          <t>☐</t>
        </is>
      </c>
      <c r="C43" s="46" t="inlineStr">
        <is>
          <t>Word count / images / FAQs meet-or-beat benchmarks</t>
        </is>
      </c>
    </row>
    <row r="44">
      <c r="B44" s="45" t="inlineStr">
        <is>
          <t>☐</t>
        </is>
      </c>
      <c r="C44" s="46" t="inlineStr">
        <is>
          <t>Named author + bio present</t>
        </is>
      </c>
    </row>
    <row r="45">
      <c r="B45" s="45" t="inlineStr">
        <is>
          <t>☐</t>
        </is>
      </c>
      <c r="C45" s="46" t="inlineStr">
        <is>
          <t>Primary sources cited with links (no 'experts say')</t>
        </is>
      </c>
    </row>
    <row r="46">
      <c r="B46" s="45" t="inlineStr">
        <is>
          <t>☐</t>
        </is>
      </c>
      <c r="C46" s="46" t="inlineStr">
        <is>
          <t>All OPPORTUNITY gaps covered</t>
        </is>
      </c>
    </row>
    <row r="47">
      <c r="B47" s="45" t="inlineStr">
        <is>
          <t>☐</t>
        </is>
      </c>
      <c r="C47" s="46" t="inlineStr">
        <is>
          <t>Humanizer pass + final anti-AI audit done</t>
        </is>
      </c>
    </row>
    <row r="48">
      <c r="B48" s="45" t="inlineStr">
        <is>
          <t>☐</t>
        </is>
      </c>
      <c r="C48" s="46" t="inlineStr">
        <is>
          <t>Internal links (descriptive anchors) + 2–5 external</t>
        </is>
      </c>
    </row>
    <row r="49">
      <c r="B49" s="45" t="inlineStr">
        <is>
          <t>☐</t>
        </is>
      </c>
      <c r="C49" s="46" t="inlineStr">
        <is>
          <t>Schema implemented (Article/FAQ as fits)</t>
        </is>
      </c>
    </row>
    <row r="50">
      <c r="B50" s="45" t="inlineStr">
        <is>
          <t>☐</t>
        </is>
      </c>
      <c r="C50" s="46" t="inlineStr">
        <is>
          <t>Reads clean on mobile — short paras, reflowing tables</t>
        </is>
      </c>
    </row>
    <row r="51">
      <c r="B51" s="45" t="inlineStr">
        <is>
          <t>☐</t>
        </is>
      </c>
      <c r="C51" s="46" t="inlineStr">
        <is>
          <t>Has a real point of view / original angle</t>
        </is>
      </c>
    </row>
  </sheetData>
  <mergeCells count="9">
    <mergeCell ref="A23:D23"/>
    <mergeCell ref="A27:D27"/>
    <mergeCell ref="A31:D31"/>
    <mergeCell ref="A35:D35"/>
    <mergeCell ref="A4:D4"/>
    <mergeCell ref="A39:D39"/>
    <mergeCell ref="A15:D15"/>
    <mergeCell ref="A19:D19"/>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2026-08-10T15:56:21Z</dcterms:created>
  <dcterms:modified xsi:type="dcterms:W3CDTF">2026-08-10T15:58:25Z</dcterms:modified>
</cp:coreProperties>
</file>